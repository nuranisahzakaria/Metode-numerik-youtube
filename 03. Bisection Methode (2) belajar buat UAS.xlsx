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ri Kuliah\Semester 4\Metode Numerik\03. Metode Numerik Youtube\"/>
    </mc:Choice>
  </mc:AlternateContent>
  <xr:revisionPtr revIDLastSave="0" documentId="8_{F9B70A88-9366-415E-90C6-5B3F434519FE}" xr6:coauthVersionLast="45" xr6:coauthVersionMax="45" xr10:uidLastSave="{00000000-0000-0000-0000-000000000000}"/>
  <bookViews>
    <workbookView xWindow="-110" yWindow="-110" windowWidth="19420" windowHeight="10420" xr2:uid="{E53CF89A-8A6D-47A1-9B9C-EC437D8285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1" l="1"/>
  <c r="D19" i="1" s="1"/>
  <c r="G19" i="1" s="1"/>
  <c r="I19" i="1" s="1"/>
  <c r="C19" i="1"/>
  <c r="E19" i="1"/>
  <c r="H19" i="1" s="1"/>
  <c r="F19" i="1"/>
  <c r="B18" i="1"/>
  <c r="C18" i="1"/>
  <c r="F18" i="1" s="1"/>
  <c r="D18" i="1"/>
  <c r="G18" i="1" s="1"/>
  <c r="I18" i="1" s="1"/>
  <c r="E18" i="1"/>
  <c r="H18" i="1" s="1"/>
  <c r="I8" i="1"/>
  <c r="I9" i="1"/>
  <c r="I10" i="1"/>
  <c r="I11" i="1"/>
  <c r="I12" i="1"/>
  <c r="I13" i="1"/>
  <c r="I14" i="1"/>
  <c r="I15" i="1"/>
  <c r="I16" i="1"/>
  <c r="I17" i="1"/>
  <c r="I7" i="1"/>
  <c r="F17" i="1"/>
  <c r="F16" i="1"/>
  <c r="F15" i="1"/>
  <c r="F14" i="1"/>
  <c r="F13" i="1"/>
  <c r="F12" i="1"/>
  <c r="F11" i="1"/>
  <c r="F10" i="1"/>
  <c r="F9" i="1"/>
  <c r="F8" i="1"/>
  <c r="B8" i="1"/>
  <c r="F7" i="1"/>
  <c r="E7" i="1"/>
  <c r="D7" i="1"/>
  <c r="G7" i="1" s="1"/>
  <c r="B20" i="1" l="1"/>
  <c r="C20" i="1"/>
  <c r="F20" i="1" s="1"/>
  <c r="H7" i="1"/>
  <c r="E20" i="1" l="1"/>
  <c r="D20" i="1"/>
  <c r="G20" i="1" s="1"/>
  <c r="I20" i="1" s="1"/>
  <c r="C8" i="1"/>
  <c r="H20" i="1" l="1"/>
  <c r="D8" i="1"/>
  <c r="G8" i="1" s="1"/>
  <c r="E8" i="1"/>
  <c r="H8" i="1" l="1"/>
  <c r="B9" i="1"/>
  <c r="C9" i="1"/>
  <c r="D9" i="1" l="1"/>
  <c r="G9" i="1" s="1"/>
  <c r="E9" i="1"/>
  <c r="H9" i="1" l="1"/>
  <c r="C10" i="1" l="1"/>
  <c r="B10" i="1"/>
  <c r="D10" i="1" l="1"/>
  <c r="G10" i="1" s="1"/>
  <c r="E10" i="1"/>
  <c r="H10" i="1" s="1"/>
  <c r="C11" i="1" l="1"/>
  <c r="B11" i="1"/>
  <c r="D11" i="1" l="1"/>
  <c r="G11" i="1" s="1"/>
  <c r="E11" i="1"/>
  <c r="H11" i="1" s="1"/>
  <c r="C12" i="1" l="1"/>
  <c r="B12" i="1"/>
  <c r="D12" i="1" l="1"/>
  <c r="G12" i="1" s="1"/>
  <c r="E12" i="1"/>
  <c r="H12" i="1" s="1"/>
  <c r="C13" i="1" l="1"/>
  <c r="B13" i="1"/>
  <c r="D13" i="1" l="1"/>
  <c r="G13" i="1" s="1"/>
  <c r="E13" i="1"/>
  <c r="H13" i="1" l="1"/>
  <c r="B14" i="1"/>
  <c r="C14" i="1"/>
  <c r="D14" i="1" l="1"/>
  <c r="G14" i="1" s="1"/>
  <c r="E14" i="1"/>
  <c r="H14" i="1" s="1"/>
  <c r="C15" i="1" l="1"/>
  <c r="B15" i="1"/>
  <c r="D15" i="1" l="1"/>
  <c r="G15" i="1" s="1"/>
  <c r="E15" i="1"/>
  <c r="H15" i="1" s="1"/>
  <c r="C16" i="1" l="1"/>
  <c r="B16" i="1"/>
  <c r="E16" i="1" l="1"/>
  <c r="D16" i="1"/>
  <c r="G16" i="1" s="1"/>
  <c r="H16" i="1" l="1"/>
  <c r="B17" i="1" l="1"/>
  <c r="C17" i="1"/>
  <c r="D17" i="1" l="1"/>
  <c r="G17" i="1" s="1"/>
  <c r="E17" i="1"/>
  <c r="H17" i="1" l="1"/>
</calcChain>
</file>

<file path=xl/sharedStrings.xml><?xml version="1.0" encoding="utf-8"?>
<sst xmlns="http://schemas.openxmlformats.org/spreadsheetml/2006/main" count="12" uniqueCount="12">
  <si>
    <t>BISECTION METHODE</t>
  </si>
  <si>
    <t>xn</t>
  </si>
  <si>
    <t>xn+1</t>
  </si>
  <si>
    <t>xt</t>
  </si>
  <si>
    <t>f(xn)</t>
  </si>
  <si>
    <t>f(xt)</t>
  </si>
  <si>
    <t>f(xn).f(xt)</t>
  </si>
  <si>
    <t>e</t>
  </si>
  <si>
    <t xml:space="preserve">f(x) </t>
  </si>
  <si>
    <t>Pengujian e</t>
  </si>
  <si>
    <t>3x^5 +x^2-9</t>
  </si>
  <si>
    <t>f(xn+1)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</si>
</sst>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854E-5D8B-4017-905F-9BA864DB1BE4}">
  <dimension ref="B1:I20"/>
  <sheetViews>
    <sheetView tabSelected="1" topLeftCell="A3" workbookViewId="0">
      <selection activeCell="K18" sqref="K18"/>
    </sheetView>
  </sheetViews>
  <sheetFormatPr defaultRowHeight="14.5" x14ac:dyDescent="0.35"/>
  <cols>
    <col min="7" max="7" width="11.26953125" customWidth="1"/>
    <col min="8" max="8" width="11.6328125" customWidth="1"/>
  </cols>
  <sheetData>
    <row r="1" spans="2:9" x14ac:dyDescent="0.35">
      <c r="D1" t="s">
        <v>0</v>
      </c>
    </row>
    <row r="3" spans="2:9" x14ac:dyDescent="0.35">
      <c r="C3" t="s">
        <v>8</v>
      </c>
      <c r="D3" t="s">
        <v>10</v>
      </c>
    </row>
    <row r="4" spans="2:9" x14ac:dyDescent="0.35">
      <c r="C4" t="s">
        <v>7</v>
      </c>
      <c r="D4">
        <v>1E-3</v>
      </c>
    </row>
    <row r="6" spans="2:9" x14ac:dyDescent="0.35">
      <c r="B6" t="s">
        <v>1</v>
      </c>
      <c r="C6" t="s">
        <v>2</v>
      </c>
      <c r="D6" t="s">
        <v>3</v>
      </c>
      <c r="E6" t="s">
        <v>4</v>
      </c>
      <c r="F6" t="s">
        <v>11</v>
      </c>
      <c r="G6" t="s">
        <v>5</v>
      </c>
      <c r="H6" t="s">
        <v>6</v>
      </c>
      <c r="I6" t="s">
        <v>9</v>
      </c>
    </row>
    <row r="7" spans="2:9" x14ac:dyDescent="0.35">
      <c r="B7">
        <v>1</v>
      </c>
      <c r="C7">
        <v>2</v>
      </c>
      <c r="D7">
        <f>(B7+C7)/2</f>
        <v>1.5</v>
      </c>
      <c r="E7">
        <f>3*B7^5+B7^2-9</f>
        <v>-5</v>
      </c>
      <c r="F7">
        <f>3*C7^5+C7^2-9</f>
        <v>91</v>
      </c>
      <c r="G7">
        <f>3*D7^5+D7^2-9</f>
        <v>16.03125</v>
      </c>
      <c r="H7">
        <f>E7*G7</f>
        <v>-80.15625</v>
      </c>
      <c r="I7" t="b">
        <f>ABS(G7)&lt;0.001</f>
        <v>0</v>
      </c>
    </row>
    <row r="8" spans="2:9" x14ac:dyDescent="0.35">
      <c r="B8">
        <f>IF(H7&gt;0,D7,B7)</f>
        <v>1</v>
      </c>
      <c r="C8">
        <f>IF(H7&lt;0,D7,C7)</f>
        <v>1.5</v>
      </c>
      <c r="D8">
        <f>(B8+C8)/2</f>
        <v>1.25</v>
      </c>
      <c r="E8">
        <f>3*B8^5+B8^2-9</f>
        <v>-5</v>
      </c>
      <c r="F8">
        <f t="shared" ref="F8:F17" si="0">3*C8^5+C8^2-9</f>
        <v>16.03125</v>
      </c>
      <c r="G8">
        <f>3*D8^5+D8^2-9</f>
        <v>1.7177734375</v>
      </c>
      <c r="H8">
        <f>E8*G8</f>
        <v>-8.5888671875</v>
      </c>
      <c r="I8" t="b">
        <f t="shared" ref="I8:I17" si="1">ABS(G8)&lt;0.001</f>
        <v>0</v>
      </c>
    </row>
    <row r="9" spans="2:9" x14ac:dyDescent="0.35">
      <c r="B9">
        <f>IF(H8&gt;0,D8,B8)</f>
        <v>1</v>
      </c>
      <c r="C9">
        <f>IF(H8&lt;0,D8,C8)</f>
        <v>1.25</v>
      </c>
      <c r="D9">
        <f t="shared" ref="D9:D10" si="2">(B9+C9)/2</f>
        <v>1.125</v>
      </c>
      <c r="E9">
        <f>3*B9^5+B9^2-9</f>
        <v>-5</v>
      </c>
      <c r="F9">
        <f t="shared" si="0"/>
        <v>1.7177734375</v>
      </c>
      <c r="G9">
        <f>3*D9^5+D9^2-9</f>
        <v>-2.328277587890625</v>
      </c>
      <c r="H9">
        <f t="shared" ref="H9:H10" si="3">E9*G9</f>
        <v>11.641387939453125</v>
      </c>
      <c r="I9" t="b">
        <f t="shared" si="1"/>
        <v>0</v>
      </c>
    </row>
    <row r="10" spans="2:9" x14ac:dyDescent="0.35">
      <c r="B10">
        <f>IF(H9&gt;0,D9,B9)</f>
        <v>1.125</v>
      </c>
      <c r="C10">
        <f>IF(H9&lt;0,D9,C9)</f>
        <v>1.25</v>
      </c>
      <c r="D10">
        <f t="shared" si="2"/>
        <v>1.1875</v>
      </c>
      <c r="E10">
        <f>3*B10^5+B10^2-9</f>
        <v>-2.328277587890625</v>
      </c>
      <c r="F10">
        <f t="shared" si="0"/>
        <v>1.7177734375</v>
      </c>
      <c r="G10">
        <f>3*D10^5+D10^2-9</f>
        <v>-0.50566768646240234</v>
      </c>
      <c r="H10">
        <f t="shared" si="3"/>
        <v>1.177334741310915</v>
      </c>
      <c r="I10" t="b">
        <f t="shared" si="1"/>
        <v>0</v>
      </c>
    </row>
    <row r="11" spans="2:9" x14ac:dyDescent="0.35">
      <c r="B11">
        <f>IF(H10&gt;0,D10,B10)</f>
        <v>1.1875</v>
      </c>
      <c r="C11">
        <f>IF(H10&lt;0,D10,C10)</f>
        <v>1.25</v>
      </c>
      <c r="D11">
        <f>(B11+C11)/2</f>
        <v>1.21875</v>
      </c>
      <c r="E11">
        <f>3*B11^5+B11^2-9</f>
        <v>-0.50566768646240234</v>
      </c>
      <c r="F11">
        <f t="shared" si="0"/>
        <v>1.7177734375</v>
      </c>
      <c r="G11">
        <f>3*D11^5+D11^2-9</f>
        <v>0.55202355980873108</v>
      </c>
      <c r="H11">
        <f>E11*G11</f>
        <v>-0.27914047636122064</v>
      </c>
      <c r="I11" t="b">
        <f t="shared" si="1"/>
        <v>0</v>
      </c>
    </row>
    <row r="12" spans="2:9" x14ac:dyDescent="0.35">
      <c r="B12">
        <f>IF(H11&gt;0,D11,B11)</f>
        <v>1.1875</v>
      </c>
      <c r="C12">
        <f>IF(H11&lt;0,D11,C11)</f>
        <v>1.21875</v>
      </c>
      <c r="D12">
        <f t="shared" ref="D12:D13" si="4">(B12+C12)/2</f>
        <v>1.203125</v>
      </c>
      <c r="E12">
        <f>3*B12^5+B12^2-9</f>
        <v>-0.50566768646240234</v>
      </c>
      <c r="F12">
        <f t="shared" si="0"/>
        <v>0.55202355980873108</v>
      </c>
      <c r="G12">
        <f>3*D12^5+D12^2-9</f>
        <v>1.0177335701882839E-2</v>
      </c>
      <c r="H12">
        <f t="shared" ref="H12:H13" si="5">E12*G12</f>
        <v>-5.146349798722305E-3</v>
      </c>
      <c r="I12" t="b">
        <f t="shared" si="1"/>
        <v>0</v>
      </c>
    </row>
    <row r="13" spans="2:9" x14ac:dyDescent="0.35">
      <c r="B13">
        <f>IF(H12&gt;0,D12,B12)</f>
        <v>1.1875</v>
      </c>
      <c r="C13">
        <f>IF(H12&lt;0,D12,C12)</f>
        <v>1.203125</v>
      </c>
      <c r="D13">
        <f t="shared" si="4"/>
        <v>1.1953125</v>
      </c>
      <c r="E13">
        <f>3*B13^5+B13^2-9</f>
        <v>-0.50566768646240234</v>
      </c>
      <c r="F13">
        <f t="shared" si="0"/>
        <v>1.0177335701882839E-2</v>
      </c>
      <c r="G13">
        <f>3*D13^5+D13^2-9</f>
        <v>-0.25093340562307276</v>
      </c>
      <c r="H13">
        <f t="shared" si="5"/>
        <v>0.12688891467755078</v>
      </c>
      <c r="I13" t="b">
        <f t="shared" si="1"/>
        <v>0</v>
      </c>
    </row>
    <row r="14" spans="2:9" x14ac:dyDescent="0.35">
      <c r="B14">
        <f>IF(H13&gt;0,D13,B13)</f>
        <v>1.1953125</v>
      </c>
      <c r="C14">
        <f>IF(H13&lt;0,D13,C13)</f>
        <v>1.203125</v>
      </c>
      <c r="D14">
        <f>(B14+C14)/2</f>
        <v>1.19921875</v>
      </c>
      <c r="E14">
        <f>3*B14^5+B14^2-9</f>
        <v>-0.25093340562307276</v>
      </c>
      <c r="F14">
        <f t="shared" si="0"/>
        <v>1.0177335701882839E-2</v>
      </c>
      <c r="G14">
        <f>3*D14^5+D14^2-9</f>
        <v>-0.12118276961609808</v>
      </c>
      <c r="H14">
        <f>E14*G14</f>
        <v>3.0408805082603716E-2</v>
      </c>
      <c r="I14" t="b">
        <f t="shared" si="1"/>
        <v>0</v>
      </c>
    </row>
    <row r="15" spans="2:9" x14ac:dyDescent="0.35">
      <c r="B15">
        <f>IF(H14&gt;0,D14,B14)</f>
        <v>1.19921875</v>
      </c>
      <c r="C15">
        <f>IF(H14&lt;0,D14,C14)</f>
        <v>1.203125</v>
      </c>
      <c r="D15">
        <f t="shared" ref="D15:D16" si="6">(B15+C15)/2</f>
        <v>1.201171875</v>
      </c>
      <c r="E15">
        <f>3*B15^5+B15^2-9</f>
        <v>-0.12118276961609808</v>
      </c>
      <c r="F15">
        <f t="shared" si="0"/>
        <v>1.0177335701882839E-2</v>
      </c>
      <c r="G15">
        <f>3*D15^5+D15^2-9</f>
        <v>-5.5704865745923371E-2</v>
      </c>
      <c r="H15">
        <f t="shared" ref="H15:H16" si="7">E15*G15</f>
        <v>6.7504699121839059E-3</v>
      </c>
      <c r="I15" t="b">
        <f t="shared" si="1"/>
        <v>0</v>
      </c>
    </row>
    <row r="16" spans="2:9" x14ac:dyDescent="0.35">
      <c r="B16">
        <f>IF(H15&gt;0,D15,B15)</f>
        <v>1.201171875</v>
      </c>
      <c r="C16">
        <f>IF(H15&lt;0,D15,C15)</f>
        <v>1.203125</v>
      </c>
      <c r="D16">
        <f t="shared" si="6"/>
        <v>1.2021484375</v>
      </c>
      <c r="E16">
        <f>3*B16^5+B16^2-9</f>
        <v>-5.5704865745923371E-2</v>
      </c>
      <c r="F16">
        <f t="shared" si="0"/>
        <v>1.0177335701882839E-2</v>
      </c>
      <c r="G16">
        <f>3*D16^5+D16^2-9</f>
        <v>-2.2814423203687539E-2</v>
      </c>
      <c r="H16">
        <f t="shared" si="7"/>
        <v>1.2708743816320933E-3</v>
      </c>
      <c r="I16" t="b">
        <f t="shared" si="1"/>
        <v>0</v>
      </c>
    </row>
    <row r="17" spans="2:9" x14ac:dyDescent="0.35">
      <c r="B17">
        <f>IF(H16&gt;0,D16,B16)</f>
        <v>1.2021484375</v>
      </c>
      <c r="C17">
        <f>IF(H16&lt;0,D16,C16)</f>
        <v>1.203125</v>
      </c>
      <c r="D17">
        <f>(B17+C17)/2</f>
        <v>1.20263671875</v>
      </c>
      <c r="E17">
        <f>3*B17^5+B17^2-9</f>
        <v>-2.2814423203687539E-2</v>
      </c>
      <c r="F17">
        <f t="shared" si="0"/>
        <v>1.0177335701882839E-2</v>
      </c>
      <c r="G17">
        <f>3*D17^5+D17^2-9</f>
        <v>-6.3312234408918755E-3</v>
      </c>
      <c r="H17">
        <f>E17*G17</f>
        <v>1.4444321097761408E-4</v>
      </c>
      <c r="I17" t="b">
        <f t="shared" si="1"/>
        <v>0</v>
      </c>
    </row>
    <row r="18" spans="2:9" x14ac:dyDescent="0.35">
      <c r="B18">
        <f>IF(H17&gt;0,D17,B17)</f>
        <v>1.20263671875</v>
      </c>
      <c r="C18">
        <f>IF(H17&lt;0,D17,C17)</f>
        <v>1.203125</v>
      </c>
      <c r="D18">
        <f>(B18+C18)/2</f>
        <v>1.202880859375</v>
      </c>
      <c r="E18">
        <f>3*B18^5+B18^2-9</f>
        <v>-6.3312234408918755E-3</v>
      </c>
      <c r="F18">
        <f t="shared" ref="F18:F19" si="8">3*C18^5+C18^2-9</f>
        <v>1.0177335701882839E-2</v>
      </c>
      <c r="G18">
        <f>3*D18^5+D18^2-9</f>
        <v>1.9198843135797006E-3</v>
      </c>
      <c r="H18">
        <f>E18*G18</f>
        <v>-1.2155216569936409E-5</v>
      </c>
      <c r="I18" t="b">
        <f t="shared" ref="I18:I19" si="9">ABS(G18)&lt;0.001</f>
        <v>0</v>
      </c>
    </row>
    <row r="19" spans="2:9" x14ac:dyDescent="0.35">
      <c r="B19">
        <f t="shared" ref="B19:B27" si="10">IF(H18&gt;0,D18,B18)</f>
        <v>1.20263671875</v>
      </c>
      <c r="C19">
        <f t="shared" ref="C19:C27" si="11">IF(H18&lt;0,D18,C18)</f>
        <v>1.202880859375</v>
      </c>
      <c r="D19">
        <f t="shared" ref="D19:D27" si="12">(B19+C19)/2</f>
        <v>1.2027587890625</v>
      </c>
      <c r="E19">
        <f t="shared" ref="E19:E27" si="13">3*B19^5+B19^2-9</f>
        <v>-6.3312234408918755E-3</v>
      </c>
      <c r="F19">
        <f t="shared" si="8"/>
        <v>1.9198843135797006E-3</v>
      </c>
      <c r="G19">
        <f t="shared" ref="G19:G27" si="14">3*D19^5+D19^2-9</f>
        <v>-2.2064622810233914E-3</v>
      </c>
      <c r="H19">
        <f t="shared" ref="H19:H27" si="15">E19*G19</f>
        <v>1.3969605715059052E-5</v>
      </c>
      <c r="I19" t="b">
        <f t="shared" si="9"/>
        <v>0</v>
      </c>
    </row>
    <row r="20" spans="2:9" x14ac:dyDescent="0.35">
      <c r="B20">
        <f t="shared" si="10"/>
        <v>1.2027587890625</v>
      </c>
      <c r="C20">
        <f t="shared" si="11"/>
        <v>1.202880859375</v>
      </c>
      <c r="D20">
        <f t="shared" si="12"/>
        <v>1.20281982421875</v>
      </c>
      <c r="E20">
        <f t="shared" si="13"/>
        <v>-2.2064622810233914E-3</v>
      </c>
      <c r="F20">
        <f t="shared" ref="F20:F27" si="16">3*C20^5+C20^2-9</f>
        <v>1.9198843135797006E-3</v>
      </c>
      <c r="G20">
        <f t="shared" si="14"/>
        <v>-1.4348719266621401E-4</v>
      </c>
      <c r="H20">
        <f t="shared" si="15"/>
        <v>3.1659907842793741E-7</v>
      </c>
      <c r="I20" t="b">
        <f t="shared" ref="I20:I27" si="17">ABS(G20)&lt;0.001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2022-07-02T05:49:14Z</dcterms:created>
  <dcterms:modified xsi:type="dcterms:W3CDTF">2022-07-02T06:50:42Z</dcterms:modified>
</cp:coreProperties>
</file>