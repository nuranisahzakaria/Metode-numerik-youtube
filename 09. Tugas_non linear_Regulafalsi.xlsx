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03. Metode Numerik Youtube\"/>
    </mc:Choice>
  </mc:AlternateContent>
  <xr:revisionPtr revIDLastSave="0" documentId="8_{85F2934F-B103-4769-A010-6C5048BB0154}" xr6:coauthVersionLast="45" xr6:coauthVersionMax="45" xr10:uidLastSave="{00000000-0000-0000-0000-000000000000}"/>
  <bookViews>
    <workbookView xWindow="-110" yWindow="-110" windowWidth="19420" windowHeight="10420" xr2:uid="{334C4AC4-0037-40E0-B0A9-B19FDD15C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G5" i="1"/>
  <c r="F5" i="1"/>
  <c r="D5" i="1" l="1"/>
  <c r="E5" i="1" s="1"/>
  <c r="C6" i="1" s="1"/>
  <c r="G6" i="1" s="1"/>
  <c r="B6" i="1" l="1"/>
  <c r="F6" i="1" s="1"/>
  <c r="D6" i="1" l="1"/>
  <c r="E6" i="1" s="1"/>
  <c r="B7" i="1" s="1"/>
  <c r="F7" i="1" s="1"/>
  <c r="C7" i="1" l="1"/>
  <c r="G7" i="1" s="1"/>
  <c r="D7" i="1" s="1"/>
  <c r="E7" i="1" s="1"/>
  <c r="B8" i="1" s="1"/>
  <c r="F8" i="1" s="1"/>
  <c r="C8" i="1" l="1"/>
  <c r="G8" i="1" s="1"/>
  <c r="D8" i="1" s="1"/>
  <c r="E8" i="1" s="1"/>
  <c r="B9" i="1" s="1"/>
  <c r="F9" i="1" s="1"/>
  <c r="C9" i="1" l="1"/>
  <c r="G9" i="1" s="1"/>
  <c r="D9" i="1" s="1"/>
  <c r="E9" i="1" s="1"/>
  <c r="C10" i="1" l="1"/>
  <c r="G10" i="1" s="1"/>
  <c r="B10" i="1"/>
  <c r="F10" i="1" s="1"/>
  <c r="D10" i="1" l="1"/>
  <c r="E10" i="1" s="1"/>
  <c r="B11" i="1" l="1"/>
  <c r="F11" i="1" s="1"/>
  <c r="C11" i="1"/>
  <c r="G11" i="1" s="1"/>
  <c r="D11" i="1" l="1"/>
  <c r="E11" i="1" s="1"/>
  <c r="B12" i="1" l="1"/>
  <c r="F12" i="1" s="1"/>
  <c r="C12" i="1"/>
  <c r="G12" i="1" s="1"/>
  <c r="D12" i="1" l="1"/>
  <c r="E12" i="1" s="1"/>
  <c r="C13" i="1" l="1"/>
  <c r="G13" i="1" s="1"/>
  <c r="B13" i="1"/>
  <c r="F13" i="1" s="1"/>
  <c r="D13" i="1" l="1"/>
  <c r="E13" i="1" s="1"/>
  <c r="B14" i="1" l="1"/>
  <c r="F14" i="1" s="1"/>
  <c r="C14" i="1"/>
  <c r="G14" i="1" s="1"/>
  <c r="D14" i="1" s="1"/>
  <c r="E14" i="1" s="1"/>
  <c r="B15" i="1" l="1"/>
  <c r="F15" i="1" s="1"/>
  <c r="C15" i="1"/>
  <c r="G15" i="1" s="1"/>
  <c r="D15" i="1" l="1"/>
  <c r="E15" i="1" s="1"/>
  <c r="B16" i="1" l="1"/>
  <c r="F16" i="1" s="1"/>
  <c r="C16" i="1"/>
  <c r="G16" i="1" s="1"/>
  <c r="D16" i="1" s="1"/>
  <c r="E16" i="1" s="1"/>
  <c r="B17" i="1" l="1"/>
  <c r="F17" i="1" s="1"/>
  <c r="C17" i="1"/>
  <c r="G17" i="1" s="1"/>
  <c r="D17" i="1" l="1"/>
  <c r="E17" i="1" s="1"/>
  <c r="B18" i="1" l="1"/>
  <c r="F18" i="1" s="1"/>
  <c r="C18" i="1"/>
  <c r="G18" i="1" s="1"/>
  <c r="D18" i="1" l="1"/>
  <c r="E18" i="1" s="1"/>
  <c r="B19" i="1" l="1"/>
  <c r="F19" i="1" s="1"/>
  <c r="C19" i="1"/>
  <c r="G19" i="1" s="1"/>
  <c r="D19" i="1" s="1"/>
  <c r="E19" i="1" s="1"/>
</calcChain>
</file>

<file path=xl/sharedStrings.xml><?xml version="1.0" encoding="utf-8"?>
<sst xmlns="http://schemas.openxmlformats.org/spreadsheetml/2006/main" count="10" uniqueCount="10">
  <si>
    <t>Iterasi</t>
  </si>
  <si>
    <t>a</t>
  </si>
  <si>
    <t>b</t>
  </si>
  <si>
    <t>x</t>
  </si>
  <si>
    <t>f(x)</t>
  </si>
  <si>
    <t>f(a)</t>
  </si>
  <si>
    <t>f(b)</t>
  </si>
  <si>
    <t>f(x) = 2 x^4 -x^2-6x+2</t>
  </si>
  <si>
    <t>PERSAMAAN NON LINEAR</t>
  </si>
  <si>
    <t>Metode Regulafalsi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</si>
</sst>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0ED1-770D-461F-BE8D-85E7BF8E8311}">
  <dimension ref="A1:L19"/>
  <sheetViews>
    <sheetView tabSelected="1" workbookViewId="0">
      <selection activeCell="D3" sqref="D3"/>
    </sheetView>
  </sheetViews>
  <sheetFormatPr defaultRowHeight="14" x14ac:dyDescent="0.3"/>
  <cols>
    <col min="1" max="3" width="8.7265625" style="1"/>
    <col min="4" max="4" width="16.26953125" style="1" customWidth="1"/>
    <col min="5" max="5" width="10.08984375" style="1" customWidth="1"/>
    <col min="6" max="6" width="11" style="1" customWidth="1"/>
    <col min="7" max="16384" width="8.7265625" style="1"/>
  </cols>
  <sheetData>
    <row r="1" spans="1:12" x14ac:dyDescent="0.3">
      <c r="C1" s="1" t="s">
        <v>8</v>
      </c>
    </row>
    <row r="2" spans="1:12" ht="17.5" x14ac:dyDescent="0.35">
      <c r="B2" s="2"/>
      <c r="C2" s="2" t="s">
        <v>9</v>
      </c>
    </row>
    <row r="4" spans="1:12" ht="17.5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12" x14ac:dyDescent="0.3">
      <c r="A5" s="1">
        <v>1</v>
      </c>
      <c r="B5" s="1">
        <v>1</v>
      </c>
      <c r="C5" s="1">
        <v>2</v>
      </c>
      <c r="D5" s="1">
        <f>((G5*B5)-(F5*C5))/(G5-F5)</f>
        <v>1.1428571428571428</v>
      </c>
      <c r="E5" s="1">
        <f>2*(D5^4)-(D5^2)-6*D5+2</f>
        <v>-2.7513536026655565</v>
      </c>
      <c r="F5" s="1">
        <f>2*(B5^4)-(B5^2)-6*B5+2</f>
        <v>-3</v>
      </c>
      <c r="G5" s="1">
        <f>2*(C5^4)-(C5^2)-6*C5+2</f>
        <v>18</v>
      </c>
      <c r="L5" s="1" t="s">
        <v>7</v>
      </c>
    </row>
    <row r="6" spans="1:12" x14ac:dyDescent="0.3">
      <c r="A6" s="1">
        <f>A5+1</f>
        <v>2</v>
      </c>
      <c r="B6" s="1">
        <f>IF(E5*F5&gt;0, D5,B5)</f>
        <v>1.1428571428571428</v>
      </c>
      <c r="C6" s="1">
        <f>IF(E5*F5&lt;0,D5,C5)</f>
        <v>2</v>
      </c>
      <c r="D6" s="1">
        <f>((G6*B6)-(F6*C6))/(G6-F6)</f>
        <v>1.2565028901734103</v>
      </c>
      <c r="E6" s="1">
        <f>2*(D6^4)-(D6^2)-6*D6+2</f>
        <v>-2.1326010494672669</v>
      </c>
      <c r="F6" s="1">
        <f>2*(B6^4)-(B6^2)-6*B6+2</f>
        <v>-2.7513536026655565</v>
      </c>
      <c r="G6" s="1">
        <f>2*(C6^4)-(C6^2)-6*C6+2</f>
        <v>18</v>
      </c>
      <c r="L6" s="1">
        <v>1E-3</v>
      </c>
    </row>
    <row r="7" spans="1:12" x14ac:dyDescent="0.3">
      <c r="A7" s="1">
        <f t="shared" ref="A7:A13" si="0">A6+1</f>
        <v>3</v>
      </c>
      <c r="B7" s="1">
        <f t="shared" ref="B7:B13" si="1">IF(E6*F6&gt;0, D6,B6)</f>
        <v>1.2565028901734103</v>
      </c>
      <c r="C7" s="1">
        <f t="shared" ref="C7:C13" si="2">IF(E6*F6&lt;0,D6,C6)</f>
        <v>2</v>
      </c>
      <c r="D7" s="1">
        <f t="shared" ref="D7:D13" si="3">((G7*B7)-(F7*C7))/(G7-F7)</f>
        <v>1.3352598631445713</v>
      </c>
      <c r="E7" s="1">
        <f t="shared" ref="E7:E18" si="4">2*(D7^4)-(D7^2)-6*D7+2</f>
        <v>-1.4368784578840588</v>
      </c>
      <c r="F7" s="1">
        <f t="shared" ref="F7:F13" si="5">2*(B7^4)-(B7^2)-6*B7+2</f>
        <v>-2.1326010494672669</v>
      </c>
      <c r="G7" s="1">
        <f t="shared" ref="G7:G13" si="6">2*(C7^4)-(C7^2)-6*C7+2</f>
        <v>18</v>
      </c>
    </row>
    <row r="8" spans="1:12" x14ac:dyDescent="0.3">
      <c r="A8" s="1">
        <f t="shared" si="0"/>
        <v>4</v>
      </c>
      <c r="B8" s="1">
        <f t="shared" si="1"/>
        <v>1.3352598631445713</v>
      </c>
      <c r="C8" s="1">
        <f t="shared" si="2"/>
        <v>2</v>
      </c>
      <c r="D8" s="1">
        <f t="shared" si="3"/>
        <v>1.3844010246128642</v>
      </c>
      <c r="E8" s="1">
        <f t="shared" si="4"/>
        <v>-0.87652037005009209</v>
      </c>
      <c r="F8" s="1">
        <f t="shared" si="5"/>
        <v>-1.4368784578840588</v>
      </c>
      <c r="G8" s="1">
        <f t="shared" si="6"/>
        <v>18</v>
      </c>
    </row>
    <row r="9" spans="1:12" x14ac:dyDescent="0.3">
      <c r="A9" s="1">
        <f t="shared" si="0"/>
        <v>5</v>
      </c>
      <c r="B9" s="1">
        <f t="shared" si="1"/>
        <v>1.3844010246128642</v>
      </c>
      <c r="C9" s="1">
        <f t="shared" si="2"/>
        <v>2</v>
      </c>
      <c r="D9" s="1">
        <f t="shared" si="3"/>
        <v>1.4129860090872752</v>
      </c>
      <c r="E9" s="1">
        <f t="shared" si="4"/>
        <v>-0.50218573211921935</v>
      </c>
      <c r="F9" s="1">
        <f t="shared" si="5"/>
        <v>-0.87652037005009209</v>
      </c>
      <c r="G9" s="1">
        <f t="shared" si="6"/>
        <v>18</v>
      </c>
    </row>
    <row r="10" spans="1:12" x14ac:dyDescent="0.3">
      <c r="A10" s="1">
        <f t="shared" si="0"/>
        <v>6</v>
      </c>
      <c r="B10" s="1">
        <f t="shared" si="1"/>
        <v>1.4129860090872752</v>
      </c>
      <c r="C10" s="1">
        <f t="shared" si="2"/>
        <v>2</v>
      </c>
      <c r="D10" s="1">
        <f t="shared" si="3"/>
        <v>1.4289187240139762</v>
      </c>
      <c r="E10" s="1">
        <f t="shared" si="4"/>
        <v>-0.27735536711080933</v>
      </c>
      <c r="F10" s="1">
        <f t="shared" si="5"/>
        <v>-0.50218573211921935</v>
      </c>
      <c r="G10" s="1">
        <f t="shared" si="6"/>
        <v>18</v>
      </c>
    </row>
    <row r="11" spans="1:12" x14ac:dyDescent="0.3">
      <c r="A11" s="1">
        <f t="shared" si="0"/>
        <v>7</v>
      </c>
      <c r="B11" s="1">
        <f t="shared" si="1"/>
        <v>1.4289187240139762</v>
      </c>
      <c r="C11" s="1">
        <f t="shared" si="2"/>
        <v>2</v>
      </c>
      <c r="D11" s="1">
        <f t="shared" si="3"/>
        <v>1.4375847730002662</v>
      </c>
      <c r="E11" s="1">
        <f t="shared" si="4"/>
        <v>-0.15007434151472054</v>
      </c>
      <c r="F11" s="1">
        <f t="shared" si="5"/>
        <v>-0.27735536711080933</v>
      </c>
      <c r="G11" s="1">
        <f t="shared" si="6"/>
        <v>18</v>
      </c>
    </row>
    <row r="12" spans="1:12" x14ac:dyDescent="0.3">
      <c r="A12" s="1">
        <f t="shared" si="0"/>
        <v>8</v>
      </c>
      <c r="B12" s="1">
        <f t="shared" si="1"/>
        <v>1.4375847730002662</v>
      </c>
      <c r="C12" s="1">
        <f t="shared" si="2"/>
        <v>2</v>
      </c>
      <c r="D12" s="1">
        <f t="shared" si="3"/>
        <v>1.4422351173052907</v>
      </c>
      <c r="E12" s="1">
        <f t="shared" si="4"/>
        <v>-8.0302282412672454E-2</v>
      </c>
      <c r="F12" s="1">
        <f t="shared" si="5"/>
        <v>-0.15007434151472054</v>
      </c>
      <c r="G12" s="1">
        <f t="shared" si="6"/>
        <v>18</v>
      </c>
    </row>
    <row r="13" spans="1:12" x14ac:dyDescent="0.3">
      <c r="A13" s="1">
        <f t="shared" si="0"/>
        <v>9</v>
      </c>
      <c r="B13" s="1">
        <f t="shared" si="1"/>
        <v>1.4422351173052907</v>
      </c>
      <c r="C13" s="1">
        <f t="shared" si="2"/>
        <v>2</v>
      </c>
      <c r="D13" s="1">
        <f t="shared" si="3"/>
        <v>1.4447123874543406</v>
      </c>
      <c r="E13" s="1">
        <f t="shared" si="4"/>
        <v>-4.2711601199600935E-2</v>
      </c>
      <c r="F13" s="1">
        <f t="shared" si="5"/>
        <v>-8.0302282412672454E-2</v>
      </c>
      <c r="G13" s="1">
        <f t="shared" si="6"/>
        <v>18</v>
      </c>
    </row>
    <row r="14" spans="1:12" x14ac:dyDescent="0.3">
      <c r="A14" s="1">
        <f>A13+1</f>
        <v>10</v>
      </c>
      <c r="B14" s="1">
        <f>IF(E13*F13&gt;0, D13,B13)</f>
        <v>1.4447123874543406</v>
      </c>
      <c r="C14" s="1">
        <f>IF(E13*F13&lt;0,D13,C13)</f>
        <v>2</v>
      </c>
      <c r="D14" s="1">
        <f>((G14*B14)-(F14*C14))/(G14-F14)</f>
        <v>1.4460268918139045</v>
      </c>
      <c r="E14" s="1">
        <f>2*(D14^4)-(D14^2)-6*D14+2</f>
        <v>-2.2645214909946532E-2</v>
      </c>
      <c r="F14" s="1">
        <f>2*(B14^4)-(B14^2)-6*B14+2</f>
        <v>-4.2711601199600935E-2</v>
      </c>
      <c r="G14" s="1">
        <f>2*(C14^4)-(C14^2)-6*C14+2</f>
        <v>18</v>
      </c>
    </row>
    <row r="15" spans="1:12" x14ac:dyDescent="0.3">
      <c r="A15" s="1">
        <f t="shared" ref="A15:A18" si="7">A14+1</f>
        <v>11</v>
      </c>
      <c r="B15" s="1">
        <f t="shared" ref="B15:B18" si="8">IF(E14*F14&gt;0, D14,B14)</f>
        <v>1.4460268918139045</v>
      </c>
      <c r="C15" s="1">
        <f t="shared" ref="C15:C18" si="9">IF(E14*F14&lt;0,D14,C14)</f>
        <v>2</v>
      </c>
      <c r="D15" s="1">
        <f t="shared" ref="D15:D18" si="10">((G15*B15)-(F15*C15))/(G15-F15)</f>
        <v>1.4467229516841187</v>
      </c>
      <c r="E15" s="1">
        <f t="shared" si="4"/>
        <v>-1.1985902289088912E-2</v>
      </c>
      <c r="F15" s="1">
        <f t="shared" ref="F15:F18" si="11">2*(B15^4)-(B15^2)-6*B15+2</f>
        <v>-2.2645214909946532E-2</v>
      </c>
      <c r="G15" s="1">
        <f t="shared" ref="G15:G18" si="12">2*(C15^4)-(C15^2)-6*C15+2</f>
        <v>18</v>
      </c>
    </row>
    <row r="16" spans="1:12" x14ac:dyDescent="0.3">
      <c r="A16" s="1">
        <f t="shared" si="7"/>
        <v>12</v>
      </c>
      <c r="B16" s="1">
        <f t="shared" si="8"/>
        <v>1.4467229516841187</v>
      </c>
      <c r="C16" s="1">
        <f t="shared" si="9"/>
        <v>2</v>
      </c>
      <c r="D16" s="1">
        <f t="shared" si="10"/>
        <v>1.4470911245594409</v>
      </c>
      <c r="E16" s="1">
        <f t="shared" si="4"/>
        <v>-6.3383335636952864E-3</v>
      </c>
      <c r="F16" s="1">
        <f t="shared" si="11"/>
        <v>-1.1985902289088912E-2</v>
      </c>
      <c r="G16" s="1">
        <f t="shared" si="12"/>
        <v>18</v>
      </c>
    </row>
    <row r="17" spans="1:7" x14ac:dyDescent="0.3">
      <c r="A17" s="1">
        <f t="shared" si="7"/>
        <v>13</v>
      </c>
      <c r="B17" s="1">
        <f t="shared" si="8"/>
        <v>1.4470911245594409</v>
      </c>
      <c r="C17" s="1">
        <f t="shared" si="9"/>
        <v>2</v>
      </c>
      <c r="D17" s="1">
        <f t="shared" si="10"/>
        <v>1.4472857516300839</v>
      </c>
      <c r="E17" s="1">
        <f t="shared" si="4"/>
        <v>-3.350218945392669E-3</v>
      </c>
      <c r="F17" s="1">
        <f t="shared" si="11"/>
        <v>-6.3383335636952864E-3</v>
      </c>
      <c r="G17" s="1">
        <f t="shared" si="12"/>
        <v>18</v>
      </c>
    </row>
    <row r="18" spans="1:7" x14ac:dyDescent="0.3">
      <c r="A18" s="1">
        <f t="shared" si="7"/>
        <v>14</v>
      </c>
      <c r="B18" s="1">
        <f t="shared" si="8"/>
        <v>1.4472857516300839</v>
      </c>
      <c r="C18" s="1">
        <f t="shared" si="9"/>
        <v>2</v>
      </c>
      <c r="D18" s="1">
        <f t="shared" si="10"/>
        <v>1.4473886054724943</v>
      </c>
      <c r="E18" s="1">
        <f t="shared" si="4"/>
        <v>-1.7703627066367744E-3</v>
      </c>
      <c r="F18" s="1">
        <f t="shared" si="11"/>
        <v>-3.350218945392669E-3</v>
      </c>
      <c r="G18" s="1">
        <f t="shared" si="12"/>
        <v>18</v>
      </c>
    </row>
    <row r="19" spans="1:7" x14ac:dyDescent="0.3">
      <c r="A19" s="4">
        <f>A18+1</f>
        <v>15</v>
      </c>
      <c r="B19" s="4">
        <f>IF(E18*F18&gt;0, D18,B18)</f>
        <v>1.4473886054724943</v>
      </c>
      <c r="C19" s="4">
        <f>IF(E18*F18&lt;0,D18,C18)</f>
        <v>2</v>
      </c>
      <c r="D19" s="4">
        <f>((G19*B19)-(F19*C19))/(G19-F19)</f>
        <v>1.4474429513831697</v>
      </c>
      <c r="E19" s="4">
        <f>2*(D19^4)-(D19^2)-6*D19+2</f>
        <v>-9.35392086404363E-4</v>
      </c>
      <c r="F19" s="4">
        <f>2*(B19^4)-(B19^2)-6*B19+2</f>
        <v>-1.7703627066367744E-3</v>
      </c>
      <c r="G19" s="4">
        <f>2*(C19^4)-(C19^2)-6*C19+2</f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2022-06-24T16:54:45Z</dcterms:created>
  <dcterms:modified xsi:type="dcterms:W3CDTF">2022-06-24T17:21:27Z</dcterms:modified>
</cp:coreProperties>
</file>