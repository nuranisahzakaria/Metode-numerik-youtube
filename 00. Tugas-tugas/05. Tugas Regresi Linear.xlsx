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"/>
    </mc:Choice>
  </mc:AlternateContent>
  <xr:revisionPtr revIDLastSave="0" documentId="13_ncr:1_{57A04A8F-7587-4DAA-BB85-F0BA2DF16162}" xr6:coauthVersionLast="45" xr6:coauthVersionMax="45" xr10:uidLastSave="{00000000-0000-0000-0000-000000000000}"/>
  <bookViews>
    <workbookView xWindow="-110" yWindow="-110" windowWidth="19420" windowHeight="10420" xr2:uid="{9A41BDF3-FA72-42CA-A766-B4A09B997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K4" i="1" l="1"/>
  <c r="K5" i="1"/>
  <c r="K6" i="1"/>
  <c r="K7" i="1"/>
  <c r="K8" i="1"/>
  <c r="K9" i="1"/>
  <c r="K10" i="1"/>
  <c r="K11" i="1"/>
  <c r="K12" i="1"/>
  <c r="K13" i="1"/>
  <c r="K14" i="1"/>
  <c r="K3" i="1"/>
  <c r="L4" i="1"/>
  <c r="L5" i="1"/>
  <c r="L6" i="1"/>
  <c r="L7" i="1"/>
  <c r="L8" i="1"/>
  <c r="L9" i="1"/>
  <c r="L10" i="1"/>
  <c r="L11" i="1"/>
  <c r="L12" i="1"/>
  <c r="L13" i="1"/>
  <c r="L14" i="1"/>
  <c r="L3" i="1"/>
  <c r="L16" i="1" l="1"/>
  <c r="K16" i="1"/>
  <c r="J4" i="1"/>
  <c r="J5" i="1"/>
  <c r="J6" i="1"/>
  <c r="J7" i="1"/>
  <c r="J8" i="1"/>
  <c r="J9" i="1"/>
  <c r="J10" i="1"/>
  <c r="J11" i="1"/>
  <c r="J12" i="1"/>
  <c r="J13" i="1"/>
  <c r="J14" i="1"/>
  <c r="J3" i="1"/>
  <c r="H26" i="1"/>
  <c r="I26" i="1" s="1"/>
  <c r="G16" i="1"/>
  <c r="I22" i="1" s="1"/>
  <c r="H16" i="1"/>
  <c r="I12" i="1"/>
  <c r="I13" i="1"/>
  <c r="I14" i="1"/>
  <c r="I4" i="1"/>
  <c r="I5" i="1"/>
  <c r="I6" i="1"/>
  <c r="I7" i="1"/>
  <c r="I8" i="1"/>
  <c r="I9" i="1"/>
  <c r="I10" i="1"/>
  <c r="I11" i="1"/>
  <c r="I3" i="1"/>
  <c r="J16" i="1" l="1"/>
  <c r="K33" i="1" s="1"/>
  <c r="I16" i="1"/>
  <c r="K32" i="1" s="1"/>
  <c r="L32" i="1" s="1"/>
  <c r="H36" i="1" s="1"/>
</calcChain>
</file>

<file path=xl/sharedStrings.xml><?xml version="1.0" encoding="utf-8"?>
<sst xmlns="http://schemas.openxmlformats.org/spreadsheetml/2006/main" count="50" uniqueCount="48">
  <si>
    <t>Januari</t>
  </si>
  <si>
    <t>Februari</t>
  </si>
  <si>
    <t xml:space="preserve">Maret </t>
  </si>
  <si>
    <t>April</t>
  </si>
  <si>
    <t xml:space="preserve">Mei </t>
  </si>
  <si>
    <t>Juni</t>
  </si>
  <si>
    <t>Agustus</t>
  </si>
  <si>
    <t>September</t>
  </si>
  <si>
    <t>Curah hujan (mm)</t>
  </si>
  <si>
    <t>Payung Terjual</t>
  </si>
  <si>
    <t>Juli</t>
  </si>
  <si>
    <t>Data perbandingan curah hujan dan penjualan payung di toko Sejahtera</t>
  </si>
  <si>
    <t>Bulan</t>
  </si>
  <si>
    <t>No</t>
  </si>
  <si>
    <r>
      <t>x</t>
    </r>
    <r>
      <rPr>
        <b/>
        <sz val="8"/>
        <color theme="1"/>
        <rFont val="Times New Roman"/>
        <family val="1"/>
      </rPr>
      <t>i</t>
    </r>
  </si>
  <si>
    <r>
      <t>y</t>
    </r>
    <r>
      <rPr>
        <b/>
        <sz val="8"/>
        <color theme="1"/>
        <rFont val="Times New Roman"/>
        <family val="1"/>
      </rPr>
      <t>i</t>
    </r>
  </si>
  <si>
    <r>
      <t>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y</t>
    </r>
    <r>
      <rPr>
        <b/>
        <sz val="8"/>
        <color theme="1"/>
        <rFont val="Times New Roman"/>
        <family val="1"/>
      </rPr>
      <t>i</t>
    </r>
  </si>
  <si>
    <r>
      <t>x</t>
    </r>
    <r>
      <rPr>
        <b/>
        <sz val="8"/>
        <color theme="1"/>
        <rFont val="Times New Roman"/>
        <family val="1"/>
      </rPr>
      <t>i</t>
    </r>
    <r>
      <rPr>
        <b/>
        <sz val="8"/>
        <color theme="1"/>
        <rFont val="Calibri"/>
        <family val="2"/>
      </rPr>
      <t>²</t>
    </r>
  </si>
  <si>
    <r>
      <t>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-ȳ)</t>
    </r>
    <r>
      <rPr>
        <b/>
        <sz val="12"/>
        <color theme="1"/>
        <rFont val="Calibri"/>
        <family val="2"/>
      </rPr>
      <t>²</t>
    </r>
  </si>
  <si>
    <r>
      <t>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 xml:space="preserve"> - a - bx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)²</t>
    </r>
  </si>
  <si>
    <t>Dari tabel diatas dapat ditentukan:</t>
  </si>
  <si>
    <t>Oktober</t>
  </si>
  <si>
    <t>November</t>
  </si>
  <si>
    <t>Desember</t>
  </si>
  <si>
    <t>Σx</t>
  </si>
  <si>
    <t>n</t>
  </si>
  <si>
    <t>Σy</t>
  </si>
  <si>
    <t>Y = a + bx</t>
  </si>
  <si>
    <t>Dengan :</t>
  </si>
  <si>
    <t>b =</t>
  </si>
  <si>
    <r>
      <t>Σx</t>
    </r>
    <r>
      <rPr>
        <b/>
        <sz val="8"/>
        <color theme="1"/>
        <rFont val="Times New Roman"/>
        <family val="1"/>
      </rPr>
      <t>i</t>
    </r>
  </si>
  <si>
    <r>
      <t>Σy</t>
    </r>
    <r>
      <rPr>
        <b/>
        <sz val="8"/>
        <color theme="1"/>
        <rFont val="Times New Roman"/>
        <family val="1"/>
      </rPr>
      <t>i</t>
    </r>
  </si>
  <si>
    <r>
      <t>Σx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²</t>
    </r>
  </si>
  <si>
    <r>
      <t>Σ(y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-ȳ)²</t>
    </r>
  </si>
  <si>
    <r>
      <t>Σ(y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 xml:space="preserve"> - a - bx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)²</t>
    </r>
  </si>
  <si>
    <r>
      <t>nΣx</t>
    </r>
    <r>
      <rPr>
        <sz val="8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>y</t>
    </r>
    <r>
      <rPr>
        <sz val="8"/>
        <color theme="1"/>
        <rFont val="Times New Roman"/>
        <family val="1"/>
      </rPr>
      <t xml:space="preserve">i </t>
    </r>
    <r>
      <rPr>
        <sz val="12"/>
        <color theme="1"/>
        <rFont val="Times New Roman"/>
        <family val="1"/>
      </rPr>
      <t>- Σx</t>
    </r>
    <r>
      <rPr>
        <sz val="8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>Σy</t>
    </r>
    <r>
      <rPr>
        <sz val="8"/>
        <color theme="1"/>
        <rFont val="Times New Roman"/>
        <family val="1"/>
      </rPr>
      <t>i</t>
    </r>
  </si>
  <si>
    <r>
      <t>nΣx</t>
    </r>
    <r>
      <rPr>
        <sz val="8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>² - (Σx</t>
    </r>
    <r>
      <rPr>
        <sz val="8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>)</t>
    </r>
    <r>
      <rPr>
        <sz val="12"/>
        <color theme="1"/>
        <rFont val="Calibri"/>
        <family val="2"/>
      </rPr>
      <t>²</t>
    </r>
  </si>
  <si>
    <t>12(56854,7) - 1484,7(430)</t>
  </si>
  <si>
    <t>12(193083) - (1484,7)²</t>
  </si>
  <si>
    <t xml:space="preserve">a = </t>
  </si>
  <si>
    <t>Sehingga persamaan garisnya :</t>
  </si>
  <si>
    <t>x̄</t>
  </si>
  <si>
    <t>ȳ</t>
  </si>
  <si>
    <t>ȳ -bx</t>
  </si>
  <si>
    <t>y = a + bx</t>
  </si>
  <si>
    <t>Jadi, b = 0,389106675 dan a = 31,82148</t>
  </si>
  <si>
    <t>y = 31,82148 + 0,389106675x</t>
  </si>
  <si>
    <t>Persamaan garis yang memenuhi: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</si>
</sst>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Calibri"/>
      <family val="2"/>
      <scheme val="minor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1184923</xdr:colOff>
      <xdr:row>14</xdr:row>
      <xdr:rowOff>48068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D8DE10-71EC-4FC1-A550-F00AA6C05C6F}"/>
            </a:ext>
          </a:extLst>
        </xdr:cNvPr>
        <xdr:cNvSpPr txBox="1"/>
      </xdr:nvSpPr>
      <xdr:spPr>
        <a:xfrm>
          <a:off x="10429977" y="29226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CB42-9F4D-4F62-BD19-C06840DFB0F1}">
  <dimension ref="A1:L43"/>
  <sheetViews>
    <sheetView tabSelected="1" zoomScale="70" workbookViewId="0">
      <selection activeCell="H23" sqref="H23"/>
    </sheetView>
  </sheetViews>
  <sheetFormatPr defaultColWidth="18" defaultRowHeight="15.5" x14ac:dyDescent="0.35"/>
  <cols>
    <col min="1" max="1" width="12.54296875" style="2" customWidth="1"/>
    <col min="2" max="2" width="19.08984375" style="2" customWidth="1"/>
    <col min="3" max="3" width="15.90625" style="2" customWidth="1"/>
    <col min="4" max="5" width="18" style="2" customWidth="1"/>
    <col min="6" max="6" width="4.54296875" style="2" customWidth="1"/>
    <col min="7" max="7" width="9.1796875" style="2" customWidth="1"/>
    <col min="8" max="8" width="9.7265625" style="2" customWidth="1"/>
    <col min="9" max="9" width="12" style="2" customWidth="1"/>
    <col min="10" max="10" width="13.26953125" style="2" customWidth="1"/>
    <col min="11" max="11" width="17" style="2" customWidth="1"/>
    <col min="12" max="12" width="14.36328125" style="2" customWidth="1"/>
    <col min="13" max="13" width="8.7265625" style="2" customWidth="1"/>
    <col min="14" max="16384" width="18" style="2"/>
  </cols>
  <sheetData>
    <row r="1" spans="1:12" ht="16" thickBot="1" x14ac:dyDescent="0.4">
      <c r="A1" s="1" t="s">
        <v>11</v>
      </c>
      <c r="B1" s="1"/>
      <c r="C1" s="1"/>
    </row>
    <row r="2" spans="1:12" ht="16.5" thickTop="1" thickBot="1" x14ac:dyDescent="0.4">
      <c r="A2" s="3" t="s">
        <v>12</v>
      </c>
      <c r="B2" s="3" t="s">
        <v>8</v>
      </c>
      <c r="C2" s="3" t="s">
        <v>9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</row>
    <row r="3" spans="1:12" ht="16" thickBot="1" x14ac:dyDescent="0.4">
      <c r="A3" s="4" t="s">
        <v>0</v>
      </c>
      <c r="B3" s="5">
        <v>82</v>
      </c>
      <c r="C3" s="4">
        <v>15</v>
      </c>
      <c r="F3" s="4">
        <v>1</v>
      </c>
      <c r="G3" s="5">
        <v>82</v>
      </c>
      <c r="H3" s="4">
        <v>15</v>
      </c>
      <c r="I3" s="4">
        <f>G3*H3</f>
        <v>1230</v>
      </c>
      <c r="J3" s="4">
        <f>G3^2</f>
        <v>6724</v>
      </c>
      <c r="K3" s="4">
        <f>(H3-35.8333333)^2</f>
        <v>434.02777638888887</v>
      </c>
      <c r="L3" s="4">
        <f>(H3-(-12.3089)-0.38106675*G3)^2</f>
        <v>15.512361214902253</v>
      </c>
    </row>
    <row r="4" spans="1:12" ht="16" thickBot="1" x14ac:dyDescent="0.4">
      <c r="A4" s="4" t="s">
        <v>1</v>
      </c>
      <c r="B4" s="5">
        <v>92.5</v>
      </c>
      <c r="C4" s="4">
        <v>25</v>
      </c>
      <c r="F4" s="4">
        <v>2</v>
      </c>
      <c r="G4" s="5">
        <v>92.5</v>
      </c>
      <c r="H4" s="4">
        <v>25</v>
      </c>
      <c r="I4" s="4">
        <f t="shared" ref="I4:I11" si="0">G4*H4</f>
        <v>2312.5</v>
      </c>
      <c r="J4" s="4">
        <f t="shared" ref="J4:J14" si="1">G4^2</f>
        <v>8556.25</v>
      </c>
      <c r="K4" s="4">
        <f t="shared" ref="K4:K14" si="2">(H4-35.8333333)^2</f>
        <v>117.36111038888887</v>
      </c>
      <c r="L4" s="4">
        <f t="shared" ref="L4:L14" si="3">(H4-(-12.3089)-0.38106675*G4)^2</f>
        <v>4.2445296259066447</v>
      </c>
    </row>
    <row r="5" spans="1:12" ht="16" thickBot="1" x14ac:dyDescent="0.4">
      <c r="A5" s="4" t="s">
        <v>2</v>
      </c>
      <c r="B5" s="5">
        <v>82.2</v>
      </c>
      <c r="C5" s="4">
        <v>17</v>
      </c>
      <c r="F5" s="4">
        <v>3</v>
      </c>
      <c r="G5" s="5">
        <v>82.2</v>
      </c>
      <c r="H5" s="4">
        <v>17</v>
      </c>
      <c r="I5" s="4">
        <f t="shared" si="0"/>
        <v>1397.4</v>
      </c>
      <c r="J5" s="4">
        <f t="shared" si="1"/>
        <v>6756.84</v>
      </c>
      <c r="K5" s="4">
        <f t="shared" si="2"/>
        <v>354.6944431888889</v>
      </c>
      <c r="L5" s="4">
        <f t="shared" si="3"/>
        <v>4.0593660509329226</v>
      </c>
    </row>
    <row r="6" spans="1:12" ht="16" thickBot="1" x14ac:dyDescent="0.4">
      <c r="A6" s="4" t="s">
        <v>3</v>
      </c>
      <c r="B6" s="5">
        <v>97.7</v>
      </c>
      <c r="C6" s="4">
        <v>28</v>
      </c>
      <c r="F6" s="4">
        <v>4</v>
      </c>
      <c r="G6" s="5">
        <v>97.7</v>
      </c>
      <c r="H6" s="4">
        <v>28</v>
      </c>
      <c r="I6" s="4">
        <f t="shared" si="0"/>
        <v>2735.6</v>
      </c>
      <c r="J6" s="4">
        <f t="shared" si="1"/>
        <v>9545.2900000000009</v>
      </c>
      <c r="K6" s="4">
        <f t="shared" si="2"/>
        <v>61.361110588888884</v>
      </c>
      <c r="L6" s="4">
        <f t="shared" si="3"/>
        <v>9.4782614602961814</v>
      </c>
    </row>
    <row r="7" spans="1:12" ht="16" thickBot="1" x14ac:dyDescent="0.4">
      <c r="A7" s="4" t="s">
        <v>4</v>
      </c>
      <c r="B7" s="5">
        <v>131.9</v>
      </c>
      <c r="C7" s="4">
        <v>41</v>
      </c>
      <c r="F7" s="4">
        <v>5</v>
      </c>
      <c r="G7" s="5">
        <v>131.9</v>
      </c>
      <c r="H7" s="4">
        <v>41</v>
      </c>
      <c r="I7" s="4">
        <f t="shared" si="0"/>
        <v>5407.9000000000005</v>
      </c>
      <c r="J7" s="4">
        <f t="shared" si="1"/>
        <v>17397.61</v>
      </c>
      <c r="K7" s="4">
        <f t="shared" si="2"/>
        <v>26.694444788888894</v>
      </c>
      <c r="L7" s="4">
        <f t="shared" si="3"/>
        <v>9.2793080903887049</v>
      </c>
    </row>
    <row r="8" spans="1:12" ht="16" thickBot="1" x14ac:dyDescent="0.4">
      <c r="A8" s="4" t="s">
        <v>5</v>
      </c>
      <c r="B8" s="5">
        <v>141.30000000000001</v>
      </c>
      <c r="C8" s="4">
        <v>47</v>
      </c>
      <c r="F8" s="4">
        <v>6</v>
      </c>
      <c r="G8" s="5">
        <v>141.30000000000001</v>
      </c>
      <c r="H8" s="4">
        <v>47</v>
      </c>
      <c r="I8" s="4">
        <f t="shared" si="0"/>
        <v>6641.1</v>
      </c>
      <c r="J8" s="4">
        <f t="shared" si="1"/>
        <v>19965.690000000002</v>
      </c>
      <c r="K8" s="4">
        <f t="shared" si="2"/>
        <v>124.69444518888889</v>
      </c>
      <c r="L8" s="4">
        <f t="shared" si="3"/>
        <v>29.857134391099592</v>
      </c>
    </row>
    <row r="9" spans="1:12" ht="16" thickBot="1" x14ac:dyDescent="0.4">
      <c r="A9" s="4" t="s">
        <v>10</v>
      </c>
      <c r="B9" s="5">
        <v>165.4</v>
      </c>
      <c r="C9" s="4">
        <v>50</v>
      </c>
      <c r="F9" s="4">
        <v>7</v>
      </c>
      <c r="G9" s="5">
        <v>165.4</v>
      </c>
      <c r="H9" s="4">
        <v>50</v>
      </c>
      <c r="I9" s="4">
        <f t="shared" si="0"/>
        <v>8270</v>
      </c>
      <c r="J9" s="4">
        <f t="shared" si="1"/>
        <v>27357.160000000003</v>
      </c>
      <c r="K9" s="4">
        <f t="shared" si="2"/>
        <v>200.69444538888891</v>
      </c>
      <c r="L9" s="4">
        <f t="shared" si="3"/>
        <v>0.51773845918620798</v>
      </c>
    </row>
    <row r="10" spans="1:12" ht="16" thickBot="1" x14ac:dyDescent="0.4">
      <c r="A10" s="4" t="s">
        <v>6</v>
      </c>
      <c r="B10" s="5">
        <v>140</v>
      </c>
      <c r="C10" s="4">
        <v>46</v>
      </c>
      <c r="F10" s="4">
        <v>8</v>
      </c>
      <c r="G10" s="5">
        <v>165.5</v>
      </c>
      <c r="H10" s="4">
        <v>46</v>
      </c>
      <c r="I10" s="4">
        <f t="shared" si="0"/>
        <v>7613</v>
      </c>
      <c r="J10" s="4">
        <f t="shared" si="1"/>
        <v>27390.25</v>
      </c>
      <c r="K10" s="4">
        <f t="shared" si="2"/>
        <v>103.36111178888889</v>
      </c>
      <c r="L10" s="4">
        <f t="shared" si="3"/>
        <v>22.635206166020751</v>
      </c>
    </row>
    <row r="11" spans="1:12" ht="16" thickBot="1" x14ac:dyDescent="0.4">
      <c r="A11" s="4" t="s">
        <v>7</v>
      </c>
      <c r="B11" s="5">
        <v>126.7</v>
      </c>
      <c r="C11" s="4">
        <v>37</v>
      </c>
      <c r="F11" s="4">
        <v>9</v>
      </c>
      <c r="G11" s="5">
        <v>126.6</v>
      </c>
      <c r="H11" s="4">
        <v>37</v>
      </c>
      <c r="I11" s="4">
        <f t="shared" si="0"/>
        <v>4684.2</v>
      </c>
      <c r="J11" s="4">
        <f t="shared" si="1"/>
        <v>16027.559999999998</v>
      </c>
      <c r="K11" s="4">
        <f t="shared" si="2"/>
        <v>1.3611111888888909</v>
      </c>
      <c r="L11" s="4">
        <f t="shared" si="3"/>
        <v>1.1360350500653063</v>
      </c>
    </row>
    <row r="12" spans="1:12" ht="16" thickBot="1" x14ac:dyDescent="0.4">
      <c r="A12" s="4" t="s">
        <v>21</v>
      </c>
      <c r="B12" s="4">
        <v>130.19999999999999</v>
      </c>
      <c r="C12" s="4">
        <v>38</v>
      </c>
      <c r="F12" s="4">
        <v>10</v>
      </c>
      <c r="G12" s="4">
        <v>130.19999999999999</v>
      </c>
      <c r="H12" s="4">
        <v>38</v>
      </c>
      <c r="I12" s="4">
        <f t="shared" ref="I12:I14" si="4">G12*H12</f>
        <v>4947.5999999999995</v>
      </c>
      <c r="J12" s="4">
        <f t="shared" si="1"/>
        <v>16952.039999999997</v>
      </c>
      <c r="K12" s="4">
        <f t="shared" si="2"/>
        <v>4.6944445888888913</v>
      </c>
      <c r="L12" s="4">
        <f t="shared" si="3"/>
        <v>0.48164870028373152</v>
      </c>
    </row>
    <row r="13" spans="1:12" ht="16" thickBot="1" x14ac:dyDescent="0.4">
      <c r="A13" s="4" t="s">
        <v>22</v>
      </c>
      <c r="B13" s="4">
        <v>126.9</v>
      </c>
      <c r="C13" s="4">
        <v>41</v>
      </c>
      <c r="F13" s="4">
        <v>11</v>
      </c>
      <c r="G13" s="4">
        <v>126.9</v>
      </c>
      <c r="H13" s="4">
        <v>41</v>
      </c>
      <c r="I13" s="4">
        <f t="shared" si="4"/>
        <v>5202.9000000000005</v>
      </c>
      <c r="J13" s="4">
        <f t="shared" si="1"/>
        <v>16103.61</v>
      </c>
      <c r="K13" s="4">
        <f t="shared" si="2"/>
        <v>26.694444788888894</v>
      </c>
      <c r="L13" s="4">
        <f t="shared" si="3"/>
        <v>24.517643646640799</v>
      </c>
    </row>
    <row r="14" spans="1:12" ht="16" thickBot="1" x14ac:dyDescent="0.4">
      <c r="A14" s="4" t="s">
        <v>23</v>
      </c>
      <c r="B14" s="4">
        <v>142.5</v>
      </c>
      <c r="C14" s="4">
        <v>45</v>
      </c>
      <c r="F14" s="4">
        <v>12</v>
      </c>
      <c r="G14" s="4">
        <v>142.5</v>
      </c>
      <c r="H14" s="4">
        <v>45</v>
      </c>
      <c r="I14" s="4">
        <f t="shared" si="4"/>
        <v>6412.5</v>
      </c>
      <c r="J14" s="4">
        <f t="shared" si="1"/>
        <v>20306.25</v>
      </c>
      <c r="K14" s="4">
        <f t="shared" si="2"/>
        <v>84.027778388888891</v>
      </c>
      <c r="L14" s="4">
        <f t="shared" si="3"/>
        <v>9.0413761962660359</v>
      </c>
    </row>
    <row r="15" spans="1:12" ht="16" thickBot="1" x14ac:dyDescent="0.4">
      <c r="F15" s="8"/>
      <c r="G15" s="9" t="s">
        <v>30</v>
      </c>
      <c r="H15" s="9" t="s">
        <v>31</v>
      </c>
      <c r="I15" s="9" t="s">
        <v>16</v>
      </c>
      <c r="J15" s="9" t="s">
        <v>32</v>
      </c>
      <c r="K15" s="9" t="s">
        <v>33</v>
      </c>
      <c r="L15" s="9" t="s">
        <v>34</v>
      </c>
    </row>
    <row r="16" spans="1:12" ht="16" thickBot="1" x14ac:dyDescent="0.4">
      <c r="F16" s="4"/>
      <c r="G16" s="4">
        <f>SUM(G3:G14)</f>
        <v>1484.7</v>
      </c>
      <c r="H16" s="4">
        <f>SUM(H3:H14)</f>
        <v>430</v>
      </c>
      <c r="I16" s="4">
        <f>SUM(I3:I14)</f>
        <v>56854.7</v>
      </c>
      <c r="J16" s="4">
        <f>SUM(J3:J14)</f>
        <v>193082.55000000005</v>
      </c>
      <c r="K16" s="4">
        <f t="shared" ref="K16:L16" si="5">SUM(K3:K14)</f>
        <v>1539.6666666666665</v>
      </c>
      <c r="L16" s="4">
        <f t="shared" si="5"/>
        <v>130.76060905198912</v>
      </c>
    </row>
    <row r="21" spans="6:12" x14ac:dyDescent="0.35">
      <c r="F21" s="2" t="s">
        <v>20</v>
      </c>
    </row>
    <row r="22" spans="6:12" x14ac:dyDescent="0.35">
      <c r="F22" s="2" t="s">
        <v>41</v>
      </c>
      <c r="G22" s="2" t="s">
        <v>24</v>
      </c>
      <c r="H22" s="6">
        <f>G16</f>
        <v>1484.7</v>
      </c>
      <c r="I22" s="6">
        <f>H22/H23</f>
        <v>123.72500000000001</v>
      </c>
    </row>
    <row r="23" spans="6:12" x14ac:dyDescent="0.35">
      <c r="G23" s="2" t="s">
        <v>25</v>
      </c>
      <c r="H23" s="6">
        <v>12</v>
      </c>
      <c r="I23" s="6"/>
    </row>
    <row r="24" spans="6:12" x14ac:dyDescent="0.35">
      <c r="H24" s="6"/>
      <c r="I24" s="6"/>
    </row>
    <row r="25" spans="6:12" x14ac:dyDescent="0.35">
      <c r="H25" s="6"/>
      <c r="I25" s="6"/>
    </row>
    <row r="26" spans="6:12" x14ac:dyDescent="0.35">
      <c r="F26" s="2" t="s">
        <v>42</v>
      </c>
      <c r="G26" s="2" t="s">
        <v>26</v>
      </c>
      <c r="H26" s="6">
        <f>H16</f>
        <v>430</v>
      </c>
      <c r="I26" s="6">
        <f>H26/H27</f>
        <v>35.833333333333336</v>
      </c>
    </row>
    <row r="27" spans="6:12" x14ac:dyDescent="0.35">
      <c r="G27" s="2" t="s">
        <v>25</v>
      </c>
      <c r="H27" s="6">
        <v>12</v>
      </c>
      <c r="I27" s="6"/>
    </row>
    <row r="29" spans="6:12" x14ac:dyDescent="0.35">
      <c r="F29" s="2" t="s">
        <v>47</v>
      </c>
    </row>
    <row r="30" spans="6:12" x14ac:dyDescent="0.35">
      <c r="F30" s="2" t="s">
        <v>27</v>
      </c>
    </row>
    <row r="31" spans="6:12" x14ac:dyDescent="0.35">
      <c r="F31" s="2" t="s">
        <v>28</v>
      </c>
    </row>
    <row r="32" spans="6:12" x14ac:dyDescent="0.35">
      <c r="F32" s="2" t="s">
        <v>29</v>
      </c>
      <c r="G32" s="2" t="s">
        <v>35</v>
      </c>
      <c r="I32" s="2" t="s">
        <v>37</v>
      </c>
      <c r="K32" s="10">
        <f>12*I16 - (G16*H16)</f>
        <v>43835.399999999907</v>
      </c>
      <c r="L32" s="7">
        <f>K32/K33</f>
        <v>0.38910667479402489</v>
      </c>
    </row>
    <row r="33" spans="6:12" x14ac:dyDescent="0.35">
      <c r="G33" s="2" t="s">
        <v>36</v>
      </c>
      <c r="I33" s="2" t="s">
        <v>38</v>
      </c>
      <c r="K33" s="10">
        <f>12*J16 - (G16)^2</f>
        <v>112656.51000000024</v>
      </c>
      <c r="L33" s="7"/>
    </row>
    <row r="34" spans="6:12" x14ac:dyDescent="0.35">
      <c r="K34" s="7"/>
      <c r="L34" s="7"/>
    </row>
    <row r="35" spans="6:12" x14ac:dyDescent="0.35">
      <c r="K35" s="7"/>
      <c r="L35" s="7"/>
    </row>
    <row r="36" spans="6:12" x14ac:dyDescent="0.35">
      <c r="F36" s="2" t="s">
        <v>39</v>
      </c>
      <c r="G36" s="2" t="s">
        <v>43</v>
      </c>
      <c r="H36" s="2">
        <f>I26-L32*I22</f>
        <v>-12.308890005557394</v>
      </c>
      <c r="K36" s="7"/>
      <c r="L36" s="7"/>
    </row>
    <row r="37" spans="6:12" x14ac:dyDescent="0.35">
      <c r="K37" s="7"/>
      <c r="L37" s="7"/>
    </row>
    <row r="38" spans="6:12" x14ac:dyDescent="0.35">
      <c r="K38" s="7"/>
      <c r="L38" s="7"/>
    </row>
    <row r="39" spans="6:12" x14ac:dyDescent="0.35">
      <c r="F39" s="2" t="s">
        <v>45</v>
      </c>
    </row>
    <row r="41" spans="6:12" x14ac:dyDescent="0.35">
      <c r="F41" s="2" t="s">
        <v>40</v>
      </c>
    </row>
    <row r="42" spans="6:12" x14ac:dyDescent="0.35">
      <c r="F42" s="2" t="s">
        <v>44</v>
      </c>
    </row>
    <row r="43" spans="6:12" x14ac:dyDescent="0.35">
      <c r="F43" s="1" t="s">
        <v>46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2022-06-17T07:39:58Z</dcterms:created>
  <dcterms:modified xsi:type="dcterms:W3CDTF">2022-06-19T16:24:25Z</dcterms:modified>
</cp:coreProperties>
</file>