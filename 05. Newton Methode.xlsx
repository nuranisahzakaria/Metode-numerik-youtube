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B200C025-5519-410F-A9D9-66138CA5539C}" xr6:coauthVersionLast="45" xr6:coauthVersionMax="45" xr10:uidLastSave="{00000000-0000-0000-0000-000000000000}"/>
  <bookViews>
    <workbookView xWindow="-110" yWindow="-110" windowWidth="19420" windowHeight="10420" xr2:uid="{D6F1179E-88E0-4203-B9C1-6E4C69896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7" i="1"/>
  <c r="D7" i="1"/>
  <c r="E7" i="1" s="1"/>
  <c r="F7" i="1" s="1"/>
  <c r="C8" i="1" s="1"/>
  <c r="D8" i="1" s="1"/>
  <c r="E8" i="1" s="1"/>
  <c r="F8" i="1" s="1"/>
  <c r="C9" i="1" s="1"/>
  <c r="D9" i="1" s="1"/>
  <c r="E9" i="1" s="1"/>
  <c r="F9" i="1" s="1"/>
  <c r="C10" i="1" s="1"/>
  <c r="D10" i="1" s="1"/>
  <c r="E10" i="1" s="1"/>
  <c r="F10" i="1" s="1"/>
  <c r="C11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D11" i="1" l="1"/>
  <c r="E11" i="1"/>
  <c r="F11" i="1" s="1"/>
  <c r="C12" i="1" s="1"/>
  <c r="D12" i="1" l="1"/>
  <c r="E12" i="1" s="1"/>
  <c r="F12" i="1" s="1"/>
  <c r="C13" i="1" s="1"/>
  <c r="D13" i="1" l="1"/>
  <c r="E13" i="1" s="1"/>
  <c r="F13" i="1" s="1"/>
  <c r="C14" i="1" s="1"/>
  <c r="D14" i="1" l="1"/>
  <c r="E14" i="1" s="1"/>
  <c r="F14" i="1" s="1"/>
  <c r="C15" i="1" s="1"/>
  <c r="D15" i="1" l="1"/>
  <c r="E15" i="1"/>
  <c r="F15" i="1" s="1"/>
  <c r="C16" i="1" s="1"/>
  <c r="D16" i="1" l="1"/>
  <c r="E16" i="1"/>
  <c r="F16" i="1" s="1"/>
  <c r="C17" i="1" s="1"/>
  <c r="D17" i="1" s="1"/>
  <c r="E17" i="1" s="1"/>
  <c r="F17" i="1" s="1"/>
  <c r="C18" i="1" s="1"/>
  <c r="D18" i="1" s="1"/>
  <c r="E18" i="1" l="1"/>
  <c r="F18" i="1" s="1"/>
  <c r="C19" i="1" s="1"/>
  <c r="D19" i="1" s="1"/>
  <c r="E19" i="1" s="1"/>
  <c r="F19" i="1" s="1"/>
</calcChain>
</file>

<file path=xl/sharedStrings.xml><?xml version="1.0" encoding="utf-8"?>
<sst xmlns="http://schemas.openxmlformats.org/spreadsheetml/2006/main" count="11" uniqueCount="11">
  <si>
    <t>AKAR-AKAR PERSAAMAAN KUADRAT DENGAN NEWTON METHODE</t>
  </si>
  <si>
    <r>
      <t>f(x)=x</t>
    </r>
    <r>
      <rPr>
        <sz val="11"/>
        <color theme="1"/>
        <rFont val="Calibri"/>
        <family val="2"/>
      </rPr>
      <t>³+x²-3x-3</t>
    </r>
  </si>
  <si>
    <t>ɛ=0,0001</t>
  </si>
  <si>
    <r>
      <t>f'(x)=3x</t>
    </r>
    <r>
      <rPr>
        <sz val="11"/>
        <color theme="1"/>
        <rFont val="Calibri"/>
        <family val="2"/>
      </rPr>
      <t>²+2x-3</t>
    </r>
  </si>
  <si>
    <r>
      <t>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</t>
    </r>
    <r>
      <rPr>
        <sz val="8"/>
        <color theme="1"/>
        <rFont val="Calibri"/>
        <family val="2"/>
        <scheme val="minor"/>
      </rPr>
      <t>1 -</t>
    </r>
    <r>
      <rPr>
        <sz val="11"/>
        <color theme="1"/>
        <rFont val="Calibri"/>
        <family val="2"/>
        <scheme val="minor"/>
      </rPr>
      <t xml:space="preserve"> {f(x1)/f(x2)}</t>
    </r>
  </si>
  <si>
    <t>Iterasi</t>
  </si>
  <si>
    <r>
      <t>x</t>
    </r>
    <r>
      <rPr>
        <sz val="8"/>
        <color theme="1"/>
        <rFont val="Calibri"/>
        <family val="2"/>
        <scheme val="minor"/>
      </rPr>
      <t>1</t>
    </r>
  </si>
  <si>
    <r>
      <t>f(x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</si>
  <si>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sz val="8"/>
        <color theme="1"/>
        <rFont val="Calibri"/>
        <family val="2"/>
        <scheme val="minor"/>
      </rPr>
      <t>2</t>
    </r>
  </si>
  <si>
    <r>
      <rPr>
        <sz val="11"/>
        <color theme="1"/>
        <rFont val="Calibri"/>
        <family val="2"/>
        <scheme val="minor"/>
      </rPr>
      <t>f(x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</si>
  <si>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Pengujian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</si>
</sst>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9AA2-B235-469B-8483-151986FE3977}">
  <dimension ref="A1:I19"/>
  <sheetViews>
    <sheetView tabSelected="1" workbookViewId="0">
      <selection activeCell="B4" sqref="A3:B4"/>
    </sheetView>
  </sheetViews>
  <sheetFormatPr defaultRowHeight="14.5" x14ac:dyDescent="0.35"/>
  <cols>
    <col min="3" max="3" width="11.453125" customWidth="1"/>
    <col min="4" max="4" width="11.90625" customWidth="1"/>
    <col min="5" max="5" width="12.54296875" customWidth="1"/>
    <col min="6" max="6" width="13.26953125" customWidth="1"/>
    <col min="7" max="7" width="13.7265625" customWidth="1"/>
  </cols>
  <sheetData>
    <row r="1" spans="1:9" ht="15.5" x14ac:dyDescent="0.35">
      <c r="B1" s="1"/>
      <c r="C1" s="1" t="s">
        <v>0</v>
      </c>
      <c r="D1" s="1"/>
      <c r="E1" s="1"/>
      <c r="F1" s="1"/>
      <c r="G1" s="1"/>
      <c r="H1" s="1"/>
      <c r="I1" s="1"/>
    </row>
    <row r="3" spans="1:9" x14ac:dyDescent="0.35">
      <c r="A3" t="s">
        <v>1</v>
      </c>
      <c r="E3" t="s">
        <v>3</v>
      </c>
    </row>
    <row r="4" spans="1:9" x14ac:dyDescent="0.35">
      <c r="A4" t="s">
        <v>2</v>
      </c>
      <c r="E4" t="s">
        <v>4</v>
      </c>
    </row>
    <row r="6" spans="1:9" x14ac:dyDescent="0.35">
      <c r="A6" s="4"/>
      <c r="B6" s="5" t="s">
        <v>5</v>
      </c>
      <c r="C6" s="5" t="s">
        <v>6</v>
      </c>
      <c r="D6" s="5" t="s">
        <v>7</v>
      </c>
      <c r="E6" s="5" t="s">
        <v>8</v>
      </c>
      <c r="F6" s="6" t="s">
        <v>9</v>
      </c>
      <c r="G6" s="3" t="s">
        <v>10</v>
      </c>
    </row>
    <row r="7" spans="1:9" x14ac:dyDescent="0.35">
      <c r="A7" s="4"/>
      <c r="B7" s="7">
        <v>1</v>
      </c>
      <c r="C7" s="7">
        <v>1</v>
      </c>
      <c r="D7" s="7">
        <f>C7^3+C7^2-3*C7-3</f>
        <v>-4</v>
      </c>
      <c r="E7" s="7">
        <f>C7-(D7/(3*C7^2+2*C7-3))</f>
        <v>3</v>
      </c>
      <c r="F7" s="7">
        <f>E7^3+E7^2-3*E7-3</f>
        <v>24</v>
      </c>
      <c r="G7" s="2" t="b">
        <f>F7&lt;0.00001</f>
        <v>0</v>
      </c>
    </row>
    <row r="8" spans="1:9" x14ac:dyDescent="0.35">
      <c r="A8" s="4"/>
      <c r="B8" s="7">
        <f>B7+1</f>
        <v>2</v>
      </c>
      <c r="C8" s="7">
        <f>IF(F7&gt;0,E7,C7)</f>
        <v>3</v>
      </c>
      <c r="D8" s="7">
        <f>C8^3+C8^2-3*C8-3</f>
        <v>24</v>
      </c>
      <c r="E8" s="7">
        <f>C8-(D8/(3*C8^2+2*C8-3))</f>
        <v>2.2000000000000002</v>
      </c>
      <c r="F8" s="7">
        <f>E8^3+E8^2-3*E8-3</f>
        <v>5.8880000000000017</v>
      </c>
      <c r="G8" s="2" t="b">
        <f t="shared" ref="G8:G19" si="0">F8&lt;0.00001</f>
        <v>0</v>
      </c>
    </row>
    <row r="9" spans="1:9" x14ac:dyDescent="0.35">
      <c r="A9" s="4"/>
      <c r="B9" s="7">
        <f t="shared" ref="B9:B19" si="1">B8+1</f>
        <v>3</v>
      </c>
      <c r="C9" s="7">
        <f>IF(F8&gt;0,E8,C8)</f>
        <v>2.2000000000000002</v>
      </c>
      <c r="D9" s="7">
        <f t="shared" ref="D9:D19" si="2">C9^3+C9^2-3*C9-3</f>
        <v>5.8880000000000017</v>
      </c>
      <c r="E9" s="7">
        <f t="shared" ref="E9:E11" si="3">C9-(D9/(3*C9^2+2*C9-3))</f>
        <v>1.8301507537688444</v>
      </c>
      <c r="F9" s="7">
        <f t="shared" ref="F9:F19" si="4">E9^3+E9^2-3*E9-3</f>
        <v>0.98900122287658832</v>
      </c>
      <c r="G9" s="2" t="b">
        <f t="shared" si="0"/>
        <v>0</v>
      </c>
    </row>
    <row r="10" spans="1:9" x14ac:dyDescent="0.35">
      <c r="A10" s="4"/>
      <c r="B10" s="7">
        <f t="shared" si="1"/>
        <v>4</v>
      </c>
      <c r="C10" s="7">
        <f>IF(F9&gt;0,E9,C9)</f>
        <v>1.8301507537688444</v>
      </c>
      <c r="D10" s="7">
        <f t="shared" si="2"/>
        <v>0.98900122287658832</v>
      </c>
      <c r="E10" s="7">
        <f t="shared" si="3"/>
        <v>1.7377954531428215</v>
      </c>
      <c r="F10" s="7">
        <f t="shared" si="4"/>
        <v>5.4572577966996327E-2</v>
      </c>
      <c r="G10" s="2" t="b">
        <f t="shared" si="0"/>
        <v>0</v>
      </c>
    </row>
    <row r="11" spans="1:9" x14ac:dyDescent="0.35">
      <c r="A11" s="4"/>
      <c r="B11" s="7">
        <f t="shared" si="1"/>
        <v>5</v>
      </c>
      <c r="C11" s="7">
        <f>IF(F10&gt;0,E10,C10)</f>
        <v>1.7377954531428215</v>
      </c>
      <c r="D11" s="7">
        <f t="shared" si="2"/>
        <v>5.4572577966996327E-2</v>
      </c>
      <c r="E11" s="7">
        <f t="shared" si="3"/>
        <v>1.7320722915449542</v>
      </c>
      <c r="F11" s="7">
        <f t="shared" si="4"/>
        <v>2.0332939260203631E-4</v>
      </c>
      <c r="G11" s="2" t="b">
        <f t="shared" si="0"/>
        <v>0</v>
      </c>
    </row>
    <row r="12" spans="1:9" x14ac:dyDescent="0.35">
      <c r="A12" s="4"/>
      <c r="B12" s="7">
        <f t="shared" si="1"/>
        <v>6</v>
      </c>
      <c r="C12" s="7">
        <f>IF(F11&gt;0,E11,C11)</f>
        <v>1.7320722915449542</v>
      </c>
      <c r="D12" s="7">
        <f t="shared" si="2"/>
        <v>2.0332939260203631E-4</v>
      </c>
      <c r="E12" s="7">
        <f t="shared" ref="E12:E19" si="5">C12-(D12/(3*C12^2+2*C12-3))</f>
        <v>1.7320508078710555</v>
      </c>
      <c r="F12" s="7">
        <f t="shared" si="4"/>
        <v>2.8598448054140135E-9</v>
      </c>
      <c r="G12" s="2" t="b">
        <f t="shared" si="0"/>
        <v>1</v>
      </c>
    </row>
    <row r="13" spans="1:9" x14ac:dyDescent="0.35">
      <c r="A13" s="4"/>
      <c r="B13" s="7">
        <f t="shared" si="1"/>
        <v>7</v>
      </c>
      <c r="C13" s="7">
        <f>IF(F12&gt;0,E12,C12)</f>
        <v>1.7320508078710555</v>
      </c>
      <c r="D13" s="7">
        <f t="shared" si="2"/>
        <v>2.8598448054140135E-9</v>
      </c>
      <c r="E13" s="7">
        <f t="shared" si="5"/>
        <v>1.7320508075688774</v>
      </c>
      <c r="F13" s="7">
        <f t="shared" si="4"/>
        <v>0</v>
      </c>
      <c r="G13" s="2" t="b">
        <f t="shared" si="0"/>
        <v>1</v>
      </c>
    </row>
    <row r="14" spans="1:9" x14ac:dyDescent="0.35">
      <c r="A14" s="4"/>
      <c r="B14" s="7">
        <f t="shared" si="1"/>
        <v>8</v>
      </c>
      <c r="C14" s="7">
        <f>IF(F13&gt;0,E13,C13)</f>
        <v>1.7320508078710555</v>
      </c>
      <c r="D14" s="7">
        <f t="shared" si="2"/>
        <v>2.8598448054140135E-9</v>
      </c>
      <c r="E14" s="7">
        <f t="shared" si="5"/>
        <v>1.7320508075688774</v>
      </c>
      <c r="F14" s="7">
        <f t="shared" si="4"/>
        <v>0</v>
      </c>
      <c r="G14" s="2" t="b">
        <f t="shared" si="0"/>
        <v>1</v>
      </c>
    </row>
    <row r="15" spans="1:9" x14ac:dyDescent="0.35">
      <c r="A15" s="4"/>
      <c r="B15" s="7">
        <f t="shared" si="1"/>
        <v>9</v>
      </c>
      <c r="C15" s="7">
        <f>IF(F14&gt;0,E14,C14)</f>
        <v>1.7320508078710555</v>
      </c>
      <c r="D15" s="7">
        <f t="shared" si="2"/>
        <v>2.8598448054140135E-9</v>
      </c>
      <c r="E15" s="7">
        <f t="shared" si="5"/>
        <v>1.7320508075688774</v>
      </c>
      <c r="F15" s="7">
        <f t="shared" si="4"/>
        <v>0</v>
      </c>
      <c r="G15" s="2" t="b">
        <f t="shared" si="0"/>
        <v>1</v>
      </c>
    </row>
    <row r="16" spans="1:9" x14ac:dyDescent="0.35">
      <c r="A16" s="4"/>
      <c r="B16" s="7">
        <f t="shared" si="1"/>
        <v>10</v>
      </c>
      <c r="C16" s="7">
        <f>IF(F15&gt;0,E15,C15)</f>
        <v>1.7320508078710555</v>
      </c>
      <c r="D16" s="7">
        <f t="shared" si="2"/>
        <v>2.8598448054140135E-9</v>
      </c>
      <c r="E16" s="7">
        <f t="shared" si="5"/>
        <v>1.7320508075688774</v>
      </c>
      <c r="F16" s="7">
        <f t="shared" si="4"/>
        <v>0</v>
      </c>
      <c r="G16" s="2" t="b">
        <f t="shared" si="0"/>
        <v>1</v>
      </c>
    </row>
    <row r="17" spans="1:7" x14ac:dyDescent="0.35">
      <c r="A17" s="4"/>
      <c r="B17" s="7">
        <f t="shared" si="1"/>
        <v>11</v>
      </c>
      <c r="C17" s="7">
        <f>IF(F16&gt;0,E16,C16)</f>
        <v>1.7320508078710555</v>
      </c>
      <c r="D17" s="7">
        <f t="shared" si="2"/>
        <v>2.8598448054140135E-9</v>
      </c>
      <c r="E17" s="7">
        <f t="shared" si="5"/>
        <v>1.7320508075688774</v>
      </c>
      <c r="F17" s="7">
        <f t="shared" si="4"/>
        <v>0</v>
      </c>
      <c r="G17" s="2" t="b">
        <f t="shared" si="0"/>
        <v>1</v>
      </c>
    </row>
    <row r="18" spans="1:7" x14ac:dyDescent="0.35">
      <c r="A18" s="4"/>
      <c r="B18" s="7">
        <f t="shared" si="1"/>
        <v>12</v>
      </c>
      <c r="C18" s="7">
        <f>IF(F17&gt;0,E17,C17)</f>
        <v>1.7320508078710555</v>
      </c>
      <c r="D18" s="7">
        <f t="shared" si="2"/>
        <v>2.8598448054140135E-9</v>
      </c>
      <c r="E18" s="7">
        <f t="shared" si="5"/>
        <v>1.7320508075688774</v>
      </c>
      <c r="F18" s="7">
        <f t="shared" si="4"/>
        <v>0</v>
      </c>
      <c r="G18" s="2" t="b">
        <f t="shared" si="0"/>
        <v>1</v>
      </c>
    </row>
    <row r="19" spans="1:7" x14ac:dyDescent="0.35">
      <c r="A19" s="4"/>
      <c r="B19" s="7">
        <f t="shared" si="1"/>
        <v>13</v>
      </c>
      <c r="C19" s="7">
        <f>IF(F18&gt;0,E18,C18)</f>
        <v>1.7320508078710555</v>
      </c>
      <c r="D19" s="7">
        <f t="shared" si="2"/>
        <v>2.8598448054140135E-9</v>
      </c>
      <c r="E19" s="7">
        <f t="shared" si="5"/>
        <v>1.7320508075688774</v>
      </c>
      <c r="F19" s="7">
        <f t="shared" si="4"/>
        <v>0</v>
      </c>
      <c r="G19" s="2" t="b">
        <f t="shared" si="0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2022-04-15T14:02:23Z</dcterms:created>
  <dcterms:modified xsi:type="dcterms:W3CDTF">2022-04-16T14:33:27Z</dcterms:modified>
</cp:coreProperties>
</file>