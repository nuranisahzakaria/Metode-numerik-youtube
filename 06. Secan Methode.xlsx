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Metode Numerik Youtube\"/>
    </mc:Choice>
  </mc:AlternateContent>
  <xr:revisionPtr revIDLastSave="0" documentId="13_ncr:1_{4955CBC4-E28A-4599-AFE1-CB5808DC5D94}" xr6:coauthVersionLast="45" xr6:coauthVersionMax="45" xr10:uidLastSave="{00000000-0000-0000-0000-000000000000}"/>
  <bookViews>
    <workbookView xWindow="-110" yWindow="-110" windowWidth="19420" windowHeight="10420" xr2:uid="{62B52854-2E3B-4164-83DE-BECA152A2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C9" i="1"/>
  <c r="D9" i="1"/>
  <c r="E9" i="1"/>
  <c r="F9" i="1"/>
  <c r="G9" i="1" s="1"/>
  <c r="C10" i="1"/>
  <c r="E10" i="1" s="1"/>
  <c r="I8" i="1"/>
  <c r="H8" i="1"/>
  <c r="G8" i="1"/>
  <c r="F8" i="1"/>
  <c r="E8" i="1"/>
  <c r="D8" i="1"/>
  <c r="C8" i="1"/>
  <c r="I7" i="1"/>
  <c r="G7" i="1"/>
  <c r="H7" i="1" s="1"/>
  <c r="F7" i="1"/>
  <c r="E7" i="1"/>
  <c r="B9" i="1"/>
  <c r="B10" i="1" s="1"/>
  <c r="B11" i="1" s="1"/>
  <c r="B12" i="1" s="1"/>
  <c r="B13" i="1" s="1"/>
  <c r="B8" i="1"/>
  <c r="D10" i="1" l="1"/>
  <c r="H9" i="1"/>
  <c r="I9" i="1" s="1"/>
  <c r="F10" i="1" l="1"/>
  <c r="C11" i="1"/>
  <c r="E11" i="1" s="1"/>
  <c r="G10" i="1"/>
  <c r="H10" i="1" l="1"/>
  <c r="I10" i="1" s="1"/>
  <c r="D11" i="1"/>
  <c r="F11" i="1" l="1"/>
  <c r="G11" i="1" s="1"/>
  <c r="C12" i="1"/>
  <c r="E12" i="1" s="1"/>
  <c r="D12" i="1" l="1"/>
  <c r="H11" i="1"/>
  <c r="I11" i="1" s="1"/>
  <c r="F12" i="1" l="1"/>
  <c r="C13" i="1"/>
  <c r="E13" i="1" s="1"/>
  <c r="G12" i="1"/>
  <c r="D13" i="1" l="1"/>
  <c r="H12" i="1"/>
  <c r="I12" i="1" s="1"/>
  <c r="F13" i="1" l="1"/>
  <c r="G13" i="1" s="1"/>
  <c r="C14" i="1"/>
  <c r="E14" i="1" s="1"/>
  <c r="D14" i="1" l="1"/>
  <c r="H13" i="1"/>
  <c r="I13" i="1" s="1"/>
  <c r="F14" i="1" l="1"/>
  <c r="G14" i="1" s="1"/>
  <c r="H14" i="1" l="1"/>
  <c r="I14" i="1" s="1"/>
</calcChain>
</file>

<file path=xl/sharedStrings.xml><?xml version="1.0" encoding="utf-8"?>
<sst xmlns="http://schemas.openxmlformats.org/spreadsheetml/2006/main" count="14" uniqueCount="14">
  <si>
    <r>
      <t>f(x)=x</t>
    </r>
    <r>
      <rPr>
        <sz val="11"/>
        <color theme="1"/>
        <rFont val="Calibri"/>
        <family val="2"/>
      </rPr>
      <t>³+x²-3x-3</t>
    </r>
  </si>
  <si>
    <t>ɛ=0,0001</t>
  </si>
  <si>
    <t>AKAR-AKAR PERSAAMAAN KUADRAT DENGAN SECANT METHODE</t>
  </si>
  <si>
    <r>
      <t>x(x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 - f(x</t>
    </r>
    <r>
      <rPr>
        <sz val="8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</si>
  <si>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r>
      <t>x</t>
    </r>
    <r>
      <rPr>
        <sz val="9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= x</t>
    </r>
    <r>
      <rPr>
        <sz val="8"/>
        <color theme="1"/>
        <rFont val="Calibri"/>
        <family val="2"/>
        <scheme val="minor"/>
      </rPr>
      <t>1-</t>
    </r>
  </si>
  <si>
    <r>
      <t>f(x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)(x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x</t>
    </r>
    <r>
      <rPr>
        <sz val="9"/>
        <color theme="1"/>
        <rFont val="Calibri"/>
        <family val="2"/>
        <scheme val="minor"/>
      </rPr>
      <t>0)</t>
    </r>
  </si>
  <si>
    <t>Iterasi</t>
  </si>
  <si>
    <r>
      <t>x</t>
    </r>
    <r>
      <rPr>
        <sz val="8"/>
        <color theme="1"/>
        <rFont val="Calibri"/>
        <family val="2"/>
        <scheme val="minor"/>
      </rPr>
      <t>0</t>
    </r>
  </si>
  <si>
    <r>
      <t>x</t>
    </r>
    <r>
      <rPr>
        <sz val="8"/>
        <color theme="1"/>
        <rFont val="Calibri"/>
        <family val="2"/>
        <scheme val="minor"/>
      </rPr>
      <t>1</t>
    </r>
  </si>
  <si>
    <r>
      <t>f(x</t>
    </r>
    <r>
      <rPr>
        <sz val="8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</si>
  <si>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r>
      <t>f(x</t>
    </r>
    <r>
      <rPr>
        <sz val="8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</si>
  <si>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>x</t>
    </r>
    <r>
      <rPr>
        <sz val="8"/>
        <color theme="1"/>
        <rFont val="Calibri"/>
        <family val="2"/>
        <scheme val="minor"/>
      </rPr>
      <t>2</t>
    </r>
  </si>
  <si>
    <r>
      <t>f(x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</si>
  <si>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Pengujian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</si>
</sst>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BFF2-8ABB-48FB-9447-CBC739C6F7AE}">
  <dimension ref="A1:I20"/>
  <sheetViews>
    <sheetView tabSelected="1" workbookViewId="0">
      <selection activeCell="D3" sqref="D3:D4"/>
    </sheetView>
  </sheetViews>
  <sheetFormatPr defaultRowHeight="14.5" x14ac:dyDescent="0.35"/>
  <cols>
    <col min="2" max="2" width="12.54296875" customWidth="1"/>
    <col min="3" max="3" width="12.08984375" customWidth="1"/>
    <col min="4" max="4" width="12.453125" customWidth="1"/>
    <col min="5" max="5" width="13.90625" customWidth="1"/>
    <col min="6" max="6" width="13.1796875" customWidth="1"/>
    <col min="7" max="7" width="14.90625" customWidth="1"/>
    <col min="8" max="8" width="14" customWidth="1"/>
    <col min="9" max="9" width="17.26953125" customWidth="1"/>
  </cols>
  <sheetData>
    <row r="1" spans="1:9" x14ac:dyDescent="0.35">
      <c r="C1" s="7" t="s">
        <v>2</v>
      </c>
    </row>
    <row r="3" spans="1:9" x14ac:dyDescent="0.35">
      <c r="A3" t="s">
        <v>0</v>
      </c>
      <c r="D3" s="1" t="s">
        <v>4</v>
      </c>
      <c r="E3" s="2" t="s">
        <v>5</v>
      </c>
    </row>
    <row r="4" spans="1:9" x14ac:dyDescent="0.35">
      <c r="A4" t="s">
        <v>1</v>
      </c>
      <c r="D4" s="1"/>
      <c r="E4" s="3" t="s">
        <v>3</v>
      </c>
    </row>
    <row r="6" spans="1:9" x14ac:dyDescent="0.35"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 x14ac:dyDescent="0.35">
      <c r="B7" s="5">
        <v>1</v>
      </c>
      <c r="C7" s="5">
        <v>1</v>
      </c>
      <c r="D7" s="5">
        <v>2</v>
      </c>
      <c r="E7" s="5">
        <f>C7^3+C7^2-3*C7-3</f>
        <v>-4</v>
      </c>
      <c r="F7" s="5">
        <f>D7^3+D7^2-3*D7-3</f>
        <v>3</v>
      </c>
      <c r="G7" s="5">
        <f>D7-((F7*(D7-C7))/(F7-E7))</f>
        <v>1.5714285714285714</v>
      </c>
      <c r="H7" s="5">
        <f>G7^3+G7^2-3*G7-3</f>
        <v>-1.3644314868804672</v>
      </c>
      <c r="I7" s="5" t="b">
        <f>ABS(H7)&lt;0.0001</f>
        <v>0</v>
      </c>
    </row>
    <row r="8" spans="1:9" x14ac:dyDescent="0.35">
      <c r="B8" s="5">
        <f>B7+1</f>
        <v>2</v>
      </c>
      <c r="C8" s="5">
        <f>D7</f>
        <v>2</v>
      </c>
      <c r="D8" s="5">
        <f>G7</f>
        <v>1.5714285714285714</v>
      </c>
      <c r="E8" s="5">
        <f>C8^3+C8^2-3*C8-3</f>
        <v>3</v>
      </c>
      <c r="F8" s="5">
        <f>D8^3+D8^2-3*D8-3</f>
        <v>-1.3644314868804672</v>
      </c>
      <c r="G8" s="5">
        <f>D8-((F8*(D8-C8))/(F8-E8))</f>
        <v>1.7054108216432866</v>
      </c>
      <c r="H8" s="5">
        <f>G8^3+G8^2-3*G8-3</f>
        <v>-0.24774509963859614</v>
      </c>
      <c r="I8" s="5" t="b">
        <f>ABS(H8)&lt;0.0001</f>
        <v>0</v>
      </c>
    </row>
    <row r="9" spans="1:9" x14ac:dyDescent="0.35">
      <c r="B9" s="5">
        <f t="shared" ref="B9:B20" si="0">B8+1</f>
        <v>3</v>
      </c>
      <c r="C9" s="5">
        <f t="shared" ref="C9:C20" si="1">D8</f>
        <v>1.5714285714285714</v>
      </c>
      <c r="D9" s="5">
        <f t="shared" ref="D9:D20" si="2">G8</f>
        <v>1.7054108216432866</v>
      </c>
      <c r="E9" s="5">
        <f t="shared" ref="E9:E20" si="3">C9^3+C9^2-3*C9-3</f>
        <v>-1.3644314868804672</v>
      </c>
      <c r="F9" s="5">
        <f t="shared" ref="F9:F20" si="4">D9^3+D9^2-3*D9-3</f>
        <v>-0.24774509963859614</v>
      </c>
      <c r="G9" s="5">
        <f t="shared" ref="G9:G20" si="5">D9-((F9*(D9-C9))/(F9-E9))</f>
        <v>1.7351357706607391</v>
      </c>
      <c r="H9" s="5">
        <f t="shared" ref="H9:H20" si="6">G9^3+G9^2-3*G9-3</f>
        <v>2.9255402305658151E-2</v>
      </c>
      <c r="I9" s="5" t="b">
        <f t="shared" ref="I9:I20" si="7">ABS(H9)&lt;0.0001</f>
        <v>0</v>
      </c>
    </row>
    <row r="10" spans="1:9" x14ac:dyDescent="0.35">
      <c r="B10" s="5">
        <f t="shared" si="0"/>
        <v>4</v>
      </c>
      <c r="C10" s="5">
        <f t="shared" si="1"/>
        <v>1.7054108216432866</v>
      </c>
      <c r="D10" s="5">
        <f t="shared" si="2"/>
        <v>1.7351357706607391</v>
      </c>
      <c r="E10" s="5">
        <f t="shared" si="3"/>
        <v>-0.24774509963859614</v>
      </c>
      <c r="F10" s="5">
        <f t="shared" si="4"/>
        <v>2.9255402305658151E-2</v>
      </c>
      <c r="G10" s="5">
        <f t="shared" si="5"/>
        <v>1.7319963707826993</v>
      </c>
      <c r="H10" s="5">
        <f t="shared" si="6"/>
        <v>-5.1517691469804561E-4</v>
      </c>
      <c r="I10" s="5" t="b">
        <f t="shared" si="7"/>
        <v>0</v>
      </c>
    </row>
    <row r="11" spans="1:9" x14ac:dyDescent="0.35">
      <c r="B11" s="5">
        <f t="shared" si="0"/>
        <v>5</v>
      </c>
      <c r="C11" s="5">
        <f t="shared" si="1"/>
        <v>1.7351357706607391</v>
      </c>
      <c r="D11" s="5">
        <f t="shared" si="2"/>
        <v>1.7319963707826993</v>
      </c>
      <c r="E11" s="5">
        <f t="shared" si="3"/>
        <v>2.9255402305658151E-2</v>
      </c>
      <c r="F11" s="5">
        <f t="shared" si="4"/>
        <v>-5.1517691469804561E-4</v>
      </c>
      <c r="G11" s="5">
        <f t="shared" si="5"/>
        <v>1.7320506977855836</v>
      </c>
      <c r="H11" s="5">
        <f t="shared" si="6"/>
        <v>-1.0390001730087306E-6</v>
      </c>
      <c r="I11" s="5" t="b">
        <f t="shared" si="7"/>
        <v>1</v>
      </c>
    </row>
    <row r="12" spans="1:9" x14ac:dyDescent="0.35">
      <c r="B12" s="5">
        <f t="shared" si="0"/>
        <v>6</v>
      </c>
      <c r="C12" s="5">
        <f t="shared" si="1"/>
        <v>1.7319963707826993</v>
      </c>
      <c r="D12" s="5">
        <f t="shared" si="2"/>
        <v>1.7320506977855836</v>
      </c>
      <c r="E12" s="5">
        <f t="shared" si="3"/>
        <v>-5.1517691469804561E-4</v>
      </c>
      <c r="F12" s="5">
        <f t="shared" si="4"/>
        <v>-1.0390001730087306E-6</v>
      </c>
      <c r="G12" s="5">
        <f t="shared" si="5"/>
        <v>1.7320508075727901</v>
      </c>
      <c r="H12" s="5">
        <f t="shared" si="6"/>
        <v>3.7029934674137621E-11</v>
      </c>
      <c r="I12" s="5" t="b">
        <f t="shared" si="7"/>
        <v>1</v>
      </c>
    </row>
    <row r="13" spans="1:9" x14ac:dyDescent="0.35">
      <c r="B13" s="5">
        <f t="shared" si="0"/>
        <v>7</v>
      </c>
      <c r="C13" s="5">
        <f t="shared" si="1"/>
        <v>1.7320506977855836</v>
      </c>
      <c r="D13" s="5">
        <f t="shared" si="2"/>
        <v>1.7320508075727901</v>
      </c>
      <c r="E13" s="5">
        <f t="shared" si="3"/>
        <v>-1.0390001730087306E-6</v>
      </c>
      <c r="F13" s="5">
        <f t="shared" si="4"/>
        <v>3.7029934674137621E-11</v>
      </c>
      <c r="G13" s="5">
        <f t="shared" si="5"/>
        <v>1.7320508075688774</v>
      </c>
      <c r="H13" s="5">
        <f t="shared" si="6"/>
        <v>0</v>
      </c>
      <c r="I13" s="5" t="b">
        <f t="shared" si="7"/>
        <v>1</v>
      </c>
    </row>
    <row r="14" spans="1:9" x14ac:dyDescent="0.35">
      <c r="B14" s="5">
        <f>B13+1</f>
        <v>8</v>
      </c>
      <c r="C14" s="5">
        <f t="shared" si="1"/>
        <v>1.7320508075727901</v>
      </c>
      <c r="D14" s="5">
        <f t="shared" si="2"/>
        <v>1.7320508075688774</v>
      </c>
      <c r="E14" s="5">
        <f t="shared" si="3"/>
        <v>3.7029934674137621E-11</v>
      </c>
      <c r="F14" s="5">
        <f t="shared" si="4"/>
        <v>0</v>
      </c>
      <c r="G14" s="5">
        <f t="shared" si="5"/>
        <v>1.7320508075688774</v>
      </c>
      <c r="H14" s="5">
        <f t="shared" si="6"/>
        <v>0</v>
      </c>
      <c r="I14" s="5" t="b">
        <f t="shared" si="7"/>
        <v>1</v>
      </c>
    </row>
    <row r="15" spans="1:9" x14ac:dyDescent="0.35">
      <c r="B15" s="6"/>
      <c r="C15" s="6"/>
      <c r="D15" s="6"/>
      <c r="E15" s="6"/>
      <c r="F15" s="6"/>
      <c r="G15" s="6"/>
      <c r="H15" s="6"/>
      <c r="I15" s="6"/>
    </row>
    <row r="16" spans="1:9" x14ac:dyDescent="0.35">
      <c r="B16" s="6"/>
      <c r="C16" s="6"/>
      <c r="D16" s="6"/>
      <c r="E16" s="6"/>
      <c r="F16" s="6"/>
      <c r="G16" s="6"/>
      <c r="H16" s="6"/>
      <c r="I16" s="6"/>
    </row>
    <row r="17" spans="2:9" x14ac:dyDescent="0.35">
      <c r="B17" s="6"/>
      <c r="C17" s="6"/>
      <c r="D17" s="6"/>
      <c r="E17" s="6"/>
      <c r="F17" s="6"/>
      <c r="G17" s="6"/>
      <c r="H17" s="6"/>
      <c r="I17" s="6"/>
    </row>
    <row r="18" spans="2:9" x14ac:dyDescent="0.35">
      <c r="B18" s="6"/>
      <c r="C18" s="6"/>
      <c r="D18" s="6"/>
      <c r="E18" s="6"/>
      <c r="F18" s="6"/>
      <c r="G18" s="6"/>
      <c r="H18" s="6"/>
      <c r="I18" s="6"/>
    </row>
    <row r="19" spans="2:9" x14ac:dyDescent="0.35">
      <c r="B19" s="6"/>
      <c r="C19" s="6"/>
      <c r="D19" s="6"/>
      <c r="E19" s="6"/>
      <c r="F19" s="6"/>
      <c r="G19" s="6"/>
      <c r="H19" s="6"/>
      <c r="I19" s="6"/>
    </row>
    <row r="20" spans="2:9" x14ac:dyDescent="0.35">
      <c r="B20" s="6"/>
      <c r="C20" s="6"/>
      <c r="D20" s="6"/>
      <c r="E20" s="6"/>
      <c r="F20" s="6"/>
      <c r="G20" s="6"/>
      <c r="H20" s="6"/>
      <c r="I20" s="6"/>
    </row>
  </sheetData>
  <mergeCells count="1"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2022-04-16T13:39:53Z</dcterms:created>
  <dcterms:modified xsi:type="dcterms:W3CDTF">2022-04-16T14:33:49Z</dcterms:modified>
</cp:coreProperties>
</file>