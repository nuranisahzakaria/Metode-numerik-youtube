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eri Kuliah\Semester 4\Metode Numerik\Metode Numerik Youtube\"/>
    </mc:Choice>
  </mc:AlternateContent>
  <xr:revisionPtr revIDLastSave="0" documentId="13_ncr:1_{560BE47E-7A08-4761-82DC-54ED33806688}" xr6:coauthVersionLast="45" xr6:coauthVersionMax="45" xr10:uidLastSave="{00000000-0000-0000-0000-000000000000}"/>
  <bookViews>
    <workbookView xWindow="-110" yWindow="-110" windowWidth="19420" windowHeight="10420" xr2:uid="{562EC9D8-1BBB-4CE3-8A80-A8981C91B7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1" l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7" i="1"/>
  <c r="F7" i="1" l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D7" i="1"/>
  <c r="G7" i="1" s="1"/>
  <c r="E7" i="1" l="1"/>
  <c r="H7" i="1" s="1"/>
  <c r="I7" i="1" s="1"/>
  <c r="D8" i="1" l="1"/>
  <c r="G8" i="1" s="1"/>
  <c r="C8" i="1"/>
  <c r="F8" i="1" s="1"/>
  <c r="E8" i="1"/>
  <c r="H8" i="1" s="1"/>
  <c r="I8" i="1" s="1"/>
  <c r="D9" i="1" l="1"/>
  <c r="G9" i="1" s="1"/>
  <c r="C9" i="1"/>
  <c r="F9" i="1" l="1"/>
  <c r="E9" i="1"/>
  <c r="H9" i="1" s="1"/>
  <c r="I9" i="1" l="1"/>
  <c r="C10" i="1" s="1"/>
  <c r="D10" i="1" l="1"/>
  <c r="G10" i="1" s="1"/>
  <c r="E10" i="1"/>
  <c r="H10" i="1" s="1"/>
  <c r="F10" i="1"/>
  <c r="I10" i="1" l="1"/>
  <c r="D11" i="1" s="1"/>
  <c r="G11" i="1" s="1"/>
  <c r="C11" i="1"/>
  <c r="F11" i="1" l="1"/>
  <c r="E11" i="1"/>
  <c r="H11" i="1" s="1"/>
  <c r="I11" i="1" s="1"/>
  <c r="C12" i="1" l="1"/>
  <c r="D12" i="1"/>
  <c r="G12" i="1" s="1"/>
  <c r="E12" i="1" l="1"/>
  <c r="H12" i="1" s="1"/>
  <c r="F12" i="1"/>
  <c r="I12" i="1" l="1"/>
  <c r="C13" i="1" l="1"/>
  <c r="D13" i="1"/>
  <c r="G13" i="1" s="1"/>
  <c r="F13" i="1" l="1"/>
  <c r="E13" i="1"/>
  <c r="H13" i="1" s="1"/>
  <c r="I13" i="1" s="1"/>
  <c r="C14" i="1" l="1"/>
  <c r="D14" i="1"/>
  <c r="G14" i="1" s="1"/>
  <c r="F14" i="1" l="1"/>
  <c r="E14" i="1"/>
  <c r="H14" i="1" s="1"/>
  <c r="I14" i="1" l="1"/>
  <c r="C15" i="1" s="1"/>
  <c r="D15" i="1"/>
  <c r="G15" i="1" s="1"/>
  <c r="F15" i="1" l="1"/>
  <c r="E15" i="1"/>
  <c r="H15" i="1" s="1"/>
  <c r="I15" i="1" s="1"/>
  <c r="C16" i="1" l="1"/>
  <c r="D16" i="1"/>
  <c r="G16" i="1" s="1"/>
  <c r="F16" i="1" l="1"/>
  <c r="E16" i="1"/>
  <c r="H16" i="1" s="1"/>
  <c r="I16" i="1" s="1"/>
  <c r="D17" i="1" l="1"/>
  <c r="G17" i="1" s="1"/>
  <c r="C17" i="1"/>
  <c r="F17" i="1" l="1"/>
  <c r="E17" i="1"/>
  <c r="H17" i="1" s="1"/>
  <c r="I17" i="1" s="1"/>
  <c r="C18" i="1" l="1"/>
  <c r="D18" i="1"/>
  <c r="G18" i="1" s="1"/>
  <c r="E18" i="1" l="1"/>
  <c r="H18" i="1" s="1"/>
  <c r="F18" i="1"/>
  <c r="I18" i="1" l="1"/>
  <c r="C19" i="1" l="1"/>
  <c r="D19" i="1"/>
  <c r="G19" i="1" s="1"/>
  <c r="F19" i="1" l="1"/>
  <c r="E19" i="1"/>
  <c r="H19" i="1" s="1"/>
  <c r="I19" i="1" s="1"/>
  <c r="D20" i="1" l="1"/>
  <c r="G20" i="1" s="1"/>
  <c r="C20" i="1"/>
  <c r="F20" i="1" l="1"/>
  <c r="E20" i="1"/>
  <c r="H20" i="1" s="1"/>
  <c r="I20" i="1" s="1"/>
  <c r="D21" i="1" l="1"/>
  <c r="G21" i="1" s="1"/>
  <c r="C21" i="1"/>
  <c r="F21" i="1" l="1"/>
  <c r="E21" i="1"/>
  <c r="H21" i="1" s="1"/>
  <c r="I21" i="1" s="1"/>
  <c r="D22" i="1" l="1"/>
  <c r="G22" i="1" s="1"/>
  <c r="C22" i="1"/>
  <c r="F22" i="1" l="1"/>
  <c r="E22" i="1"/>
  <c r="H22" i="1" s="1"/>
  <c r="I22" i="1" s="1"/>
  <c r="C23" i="1" l="1"/>
  <c r="D23" i="1"/>
  <c r="G23" i="1" s="1"/>
  <c r="F23" i="1" l="1"/>
  <c r="E23" i="1"/>
  <c r="H23" i="1" s="1"/>
  <c r="I23" i="1" s="1"/>
  <c r="D24" i="1" l="1"/>
  <c r="G24" i="1" s="1"/>
  <c r="C24" i="1"/>
  <c r="F24" i="1" l="1"/>
  <c r="E24" i="1"/>
  <c r="H24" i="1" s="1"/>
  <c r="I24" i="1" l="1"/>
  <c r="C25" i="1" s="1"/>
  <c r="D25" i="1" l="1"/>
  <c r="G25" i="1" s="1"/>
  <c r="E25" i="1"/>
  <c r="H25" i="1" s="1"/>
  <c r="F25" i="1"/>
  <c r="I25" i="1" l="1"/>
  <c r="C26" i="1" l="1"/>
  <c r="D26" i="1"/>
  <c r="G26" i="1" s="1"/>
  <c r="F26" i="1" l="1"/>
  <c r="E26" i="1"/>
  <c r="H26" i="1" s="1"/>
  <c r="I26" i="1" s="1"/>
  <c r="C27" i="1" l="1"/>
  <c r="D27" i="1"/>
  <c r="G27" i="1" s="1"/>
  <c r="F27" i="1" l="1"/>
  <c r="E27" i="1"/>
  <c r="H27" i="1" s="1"/>
  <c r="I27" i="1" s="1"/>
  <c r="C28" i="1" l="1"/>
  <c r="D28" i="1"/>
  <c r="G28" i="1" s="1"/>
  <c r="F28" i="1" l="1"/>
  <c r="E28" i="1"/>
  <c r="H28" i="1" s="1"/>
  <c r="I28" i="1" s="1"/>
  <c r="C29" i="1" l="1"/>
  <c r="D29" i="1"/>
  <c r="G29" i="1" s="1"/>
  <c r="F29" i="1" l="1"/>
  <c r="E29" i="1"/>
  <c r="H29" i="1" s="1"/>
  <c r="I29" i="1" s="1"/>
  <c r="C30" i="1" l="1"/>
  <c r="D30" i="1"/>
  <c r="G30" i="1" s="1"/>
  <c r="E30" i="1" l="1"/>
  <c r="H30" i="1" s="1"/>
  <c r="F30" i="1"/>
  <c r="I30" i="1" l="1"/>
  <c r="C31" i="1" l="1"/>
  <c r="D31" i="1"/>
  <c r="G31" i="1" s="1"/>
  <c r="E31" i="1" l="1"/>
  <c r="H31" i="1" s="1"/>
  <c r="F31" i="1"/>
  <c r="I31" i="1" l="1"/>
  <c r="D32" i="1" l="1"/>
  <c r="G32" i="1" s="1"/>
  <c r="C32" i="1"/>
  <c r="E32" i="1" l="1"/>
  <c r="H32" i="1" s="1"/>
  <c r="F32" i="1"/>
  <c r="I32" i="1" l="1"/>
  <c r="C33" i="1"/>
  <c r="D33" i="1"/>
  <c r="G33" i="1" s="1"/>
  <c r="E33" i="1" l="1"/>
  <c r="H33" i="1" s="1"/>
  <c r="F33" i="1"/>
  <c r="I33" i="1" l="1"/>
  <c r="D34" i="1" l="1"/>
  <c r="G34" i="1" s="1"/>
  <c r="C34" i="1"/>
  <c r="E34" i="1" l="1"/>
  <c r="H34" i="1" s="1"/>
  <c r="F34" i="1"/>
  <c r="I34" i="1" l="1"/>
  <c r="D35" i="1" s="1"/>
  <c r="G35" i="1" s="1"/>
  <c r="C35" i="1" l="1"/>
  <c r="E35" i="1"/>
  <c r="H35" i="1" s="1"/>
  <c r="F35" i="1"/>
  <c r="I35" i="1" l="1"/>
  <c r="C36" i="1" l="1"/>
  <c r="D36" i="1"/>
  <c r="G36" i="1" s="1"/>
  <c r="E36" i="1" l="1"/>
  <c r="H36" i="1" s="1"/>
  <c r="F36" i="1"/>
  <c r="I36" i="1" l="1"/>
  <c r="C37" i="1" l="1"/>
  <c r="D37" i="1"/>
  <c r="G37" i="1" s="1"/>
  <c r="E37" i="1" l="1"/>
  <c r="H37" i="1" s="1"/>
  <c r="F37" i="1"/>
  <c r="I37" i="1" l="1"/>
  <c r="D38" i="1" l="1"/>
  <c r="G38" i="1" s="1"/>
  <c r="C38" i="1"/>
  <c r="E38" i="1" l="1"/>
  <c r="H38" i="1" s="1"/>
  <c r="F38" i="1"/>
  <c r="I38" i="1" l="1"/>
  <c r="D39" i="1" l="1"/>
  <c r="G39" i="1" s="1"/>
  <c r="C39" i="1"/>
  <c r="E39" i="1" l="1"/>
  <c r="H39" i="1" s="1"/>
  <c r="F39" i="1"/>
  <c r="I39" i="1" l="1"/>
  <c r="D40" i="1" s="1"/>
  <c r="G40" i="1" s="1"/>
  <c r="C40" i="1" l="1"/>
  <c r="F40" i="1" s="1"/>
  <c r="E40" i="1" l="1"/>
  <c r="H40" i="1" s="1"/>
  <c r="I40" i="1" s="1"/>
  <c r="C41" i="1" s="1"/>
  <c r="D41" i="1" l="1"/>
  <c r="G41" i="1" s="1"/>
  <c r="F41" i="1"/>
  <c r="E41" i="1" l="1"/>
  <c r="H41" i="1" s="1"/>
  <c r="I41" i="1" s="1"/>
  <c r="C42" i="1" s="1"/>
  <c r="D42" i="1" l="1"/>
  <c r="G42" i="1" s="1"/>
  <c r="F42" i="1"/>
  <c r="E42" i="1" l="1"/>
  <c r="H42" i="1" s="1"/>
  <c r="I42" i="1" s="1"/>
  <c r="C43" i="1" s="1"/>
  <c r="D43" i="1" l="1"/>
  <c r="G43" i="1" s="1"/>
  <c r="F43" i="1"/>
  <c r="E43" i="1" l="1"/>
  <c r="H43" i="1" s="1"/>
  <c r="I43" i="1" s="1"/>
  <c r="C44" i="1" s="1"/>
  <c r="D44" i="1" l="1"/>
  <c r="G44" i="1" s="1"/>
  <c r="F44" i="1"/>
  <c r="E44" i="1"/>
  <c r="H44" i="1" s="1"/>
  <c r="I44" i="1" l="1"/>
  <c r="C45" i="1"/>
  <c r="D45" i="1"/>
  <c r="G45" i="1" s="1"/>
  <c r="F45" i="1" l="1"/>
  <c r="E45" i="1"/>
  <c r="H45" i="1" s="1"/>
  <c r="I45" i="1" s="1"/>
  <c r="C46" i="1" l="1"/>
  <c r="D46" i="1"/>
  <c r="G46" i="1" s="1"/>
  <c r="F46" i="1" l="1"/>
  <c r="E46" i="1"/>
  <c r="H46" i="1" s="1"/>
  <c r="I46" i="1" s="1"/>
  <c r="C47" i="1" l="1"/>
  <c r="D47" i="1"/>
  <c r="G47" i="1" s="1"/>
  <c r="F47" i="1" l="1"/>
  <c r="E47" i="1"/>
  <c r="H47" i="1" s="1"/>
  <c r="I47" i="1" s="1"/>
  <c r="C48" i="1" l="1"/>
  <c r="D48" i="1"/>
  <c r="G48" i="1" s="1"/>
  <c r="F48" i="1" l="1"/>
  <c r="E48" i="1"/>
  <c r="H48" i="1" s="1"/>
  <c r="I48" i="1" s="1"/>
  <c r="C49" i="1" l="1"/>
  <c r="D49" i="1"/>
  <c r="G49" i="1" s="1"/>
  <c r="F49" i="1" l="1"/>
  <c r="E49" i="1"/>
  <c r="H49" i="1" s="1"/>
  <c r="I49" i="1" s="1"/>
  <c r="C50" i="1" l="1"/>
  <c r="D50" i="1"/>
  <c r="G50" i="1" s="1"/>
  <c r="E50" i="1" l="1"/>
  <c r="H50" i="1" s="1"/>
  <c r="F50" i="1"/>
  <c r="I50" i="1" l="1"/>
  <c r="C51" i="1" l="1"/>
  <c r="D51" i="1"/>
  <c r="G51" i="1" s="1"/>
  <c r="F51" i="1" l="1"/>
  <c r="E51" i="1"/>
  <c r="H51" i="1" s="1"/>
  <c r="I51" i="1" s="1"/>
  <c r="C52" i="1" l="1"/>
  <c r="D52" i="1"/>
  <c r="G52" i="1" s="1"/>
  <c r="F52" i="1" l="1"/>
  <c r="E52" i="1"/>
  <c r="H52" i="1" s="1"/>
  <c r="I52" i="1" s="1"/>
  <c r="C53" i="1" l="1"/>
  <c r="D53" i="1"/>
  <c r="G53" i="1" s="1"/>
  <c r="F53" i="1" l="1"/>
  <c r="E53" i="1"/>
  <c r="H53" i="1" s="1"/>
  <c r="I53" i="1" l="1"/>
  <c r="D54" i="1" l="1"/>
  <c r="G54" i="1" s="1"/>
  <c r="C54" i="1"/>
  <c r="F54" i="1" l="1"/>
  <c r="E54" i="1"/>
  <c r="H54" i="1" s="1"/>
  <c r="I54" i="1" l="1"/>
  <c r="C55" i="1" l="1"/>
  <c r="D55" i="1"/>
  <c r="G55" i="1" s="1"/>
  <c r="F55" i="1" l="1"/>
  <c r="E55" i="1"/>
  <c r="H55" i="1" s="1"/>
  <c r="I55" i="1" l="1"/>
  <c r="D56" i="1" l="1"/>
  <c r="G56" i="1" s="1"/>
  <c r="C56" i="1"/>
  <c r="F56" i="1" l="1"/>
  <c r="E56" i="1"/>
  <c r="H56" i="1" s="1"/>
  <c r="I56" i="1" l="1"/>
  <c r="C57" i="1" l="1"/>
  <c r="D57" i="1"/>
  <c r="G57" i="1" s="1"/>
  <c r="F57" i="1" l="1"/>
  <c r="E57" i="1"/>
  <c r="H57" i="1" s="1"/>
  <c r="I57" i="1" l="1"/>
  <c r="C58" i="1" l="1"/>
  <c r="D58" i="1"/>
  <c r="G58" i="1" s="1"/>
  <c r="F58" i="1" l="1"/>
  <c r="E58" i="1"/>
  <c r="H58" i="1" s="1"/>
  <c r="I58" i="1" l="1"/>
  <c r="C59" i="1" l="1"/>
  <c r="D59" i="1"/>
  <c r="G59" i="1" s="1"/>
  <c r="F59" i="1" l="1"/>
  <c r="E59" i="1"/>
  <c r="H59" i="1" s="1"/>
  <c r="I59" i="1" l="1"/>
</calcChain>
</file>

<file path=xl/sharedStrings.xml><?xml version="1.0" encoding="utf-8"?>
<sst xmlns="http://schemas.openxmlformats.org/spreadsheetml/2006/main" count="12" uniqueCount="12">
  <si>
    <t>AKAR-AKAR PERSAMAAN DENGAN BISECTION METHODE</t>
  </si>
  <si>
    <r>
      <t>f(x)=x</t>
    </r>
    <r>
      <rPr>
        <sz val="11"/>
        <color theme="1"/>
        <rFont val="Calibri"/>
        <family val="2"/>
      </rPr>
      <t>³+x²-3x-3</t>
    </r>
  </si>
  <si>
    <t>ɛ=0,0001</t>
  </si>
  <si>
    <t>Iterasi</t>
  </si>
  <si>
    <r>
      <t>x</t>
    </r>
    <r>
      <rPr>
        <b/>
        <sz val="9"/>
        <color theme="1"/>
        <rFont val="Times New Roman"/>
        <family val="1"/>
      </rPr>
      <t>n</t>
    </r>
  </si>
  <si>
    <r>
      <t>x</t>
    </r>
    <r>
      <rPr>
        <b/>
        <sz val="9"/>
        <color theme="1"/>
        <rFont val="Times New Roman"/>
        <family val="1"/>
      </rPr>
      <t>n+1</t>
    </r>
  </si>
  <si>
    <r>
      <t>x</t>
    </r>
    <r>
      <rPr>
        <b/>
        <sz val="9"/>
        <color theme="1"/>
        <rFont val="Times New Roman"/>
        <family val="1"/>
      </rPr>
      <t>t</t>
    </r>
  </si>
  <si>
    <r>
      <t>f(x</t>
    </r>
    <r>
      <rPr>
        <b/>
        <sz val="9"/>
        <color theme="1"/>
        <rFont val="Times New Roman"/>
        <family val="1"/>
      </rPr>
      <t>n</t>
    </r>
    <r>
      <rPr>
        <b/>
        <sz val="11"/>
        <color theme="1"/>
        <rFont val="Times New Roman"/>
        <family val="1"/>
      </rPr>
      <t>)</t>
    </r>
  </si>
  <si>
    <r>
      <t>f(x</t>
    </r>
    <r>
      <rPr>
        <b/>
        <sz val="9"/>
        <color theme="1"/>
        <rFont val="Times New Roman"/>
        <family val="1"/>
      </rPr>
      <t>n+1</t>
    </r>
    <r>
      <rPr>
        <b/>
        <sz val="11"/>
        <color theme="1"/>
        <rFont val="Times New Roman"/>
        <family val="1"/>
      </rPr>
      <t>)</t>
    </r>
  </si>
  <si>
    <r>
      <t>f(x</t>
    </r>
    <r>
      <rPr>
        <b/>
        <sz val="9"/>
        <color theme="1"/>
        <rFont val="Times New Roman"/>
        <family val="1"/>
      </rPr>
      <t>t</t>
    </r>
    <r>
      <rPr>
        <b/>
        <sz val="11"/>
        <color theme="1"/>
        <rFont val="Times New Roman"/>
        <family val="1"/>
      </rPr>
      <t>)</t>
    </r>
  </si>
  <si>
    <r>
      <t>f(x</t>
    </r>
    <r>
      <rPr>
        <b/>
        <sz val="9"/>
        <color theme="1"/>
        <rFont val="Times New Roman"/>
        <family val="1"/>
      </rPr>
      <t>t</t>
    </r>
    <r>
      <rPr>
        <b/>
        <sz val="11"/>
        <color theme="1"/>
        <rFont val="Times New Roman"/>
        <family val="1"/>
      </rPr>
      <t>).f(x</t>
    </r>
    <r>
      <rPr>
        <b/>
        <sz val="9"/>
        <color theme="1"/>
        <rFont val="Times New Roman"/>
        <family val="1"/>
      </rPr>
      <t>n</t>
    </r>
    <r>
      <rPr>
        <b/>
        <sz val="11"/>
        <color theme="1"/>
        <rFont val="Times New Roman"/>
        <family val="1"/>
      </rPr>
      <t>)</t>
    </r>
  </si>
  <si>
    <t>Pengujian Nilai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</si>
</sst>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4178F-B323-4857-8455-06F48C517EE5}">
  <dimension ref="A1:J59"/>
  <sheetViews>
    <sheetView tabSelected="1" zoomScaleNormal="100" workbookViewId="0">
      <selection activeCell="K9" sqref="K9"/>
    </sheetView>
  </sheetViews>
  <sheetFormatPr defaultRowHeight="14.5" x14ac:dyDescent="0.35"/>
  <cols>
    <col min="2" max="2" width="10.7265625" customWidth="1"/>
    <col min="3" max="3" width="10.81640625" customWidth="1"/>
    <col min="4" max="4" width="10.54296875" customWidth="1"/>
    <col min="5" max="5" width="10.26953125" customWidth="1"/>
    <col min="6" max="6" width="10.36328125" customWidth="1"/>
    <col min="7" max="7" width="10.1796875" customWidth="1"/>
    <col min="8" max="8" width="11.08984375" customWidth="1"/>
    <col min="9" max="9" width="11.36328125" customWidth="1"/>
    <col min="10" max="10" width="16.36328125" customWidth="1"/>
  </cols>
  <sheetData>
    <row r="1" spans="1:10" x14ac:dyDescent="0.35">
      <c r="E1" s="1" t="s">
        <v>0</v>
      </c>
    </row>
    <row r="3" spans="1:10" x14ac:dyDescent="0.35">
      <c r="A3" t="s">
        <v>1</v>
      </c>
    </row>
    <row r="4" spans="1:10" x14ac:dyDescent="0.35">
      <c r="A4" t="s">
        <v>2</v>
      </c>
    </row>
    <row r="6" spans="1:10" x14ac:dyDescent="0.35"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</row>
    <row r="7" spans="1:10" x14ac:dyDescent="0.35">
      <c r="B7" s="3">
        <v>1</v>
      </c>
      <c r="C7" s="3">
        <v>1</v>
      </c>
      <c r="D7" s="3">
        <f>C7+1</f>
        <v>2</v>
      </c>
      <c r="E7" s="3">
        <f>(C7+D7)/2</f>
        <v>1.5</v>
      </c>
      <c r="F7" s="3">
        <f t="shared" ref="F7:H8" si="0">C7^3+C7^2-3*C7-3</f>
        <v>-4</v>
      </c>
      <c r="G7" s="3">
        <f t="shared" si="0"/>
        <v>3</v>
      </c>
      <c r="H7" s="3">
        <f t="shared" si="0"/>
        <v>-1.875</v>
      </c>
      <c r="I7" s="3">
        <f>H7*F7</f>
        <v>7.5</v>
      </c>
      <c r="J7" s="4" t="b">
        <f>ABS(I7)&lt;0.0001</f>
        <v>0</v>
      </c>
    </row>
    <row r="8" spans="1:10" x14ac:dyDescent="0.35">
      <c r="B8" s="3">
        <f>B7+1</f>
        <v>2</v>
      </c>
      <c r="C8" s="3">
        <f>IF(I7&gt;0,E7,C7)</f>
        <v>1.5</v>
      </c>
      <c r="D8" s="3">
        <f>IF(I7&lt;0,E7,D7)</f>
        <v>2</v>
      </c>
      <c r="E8" s="3">
        <f>(C8+D8)/2</f>
        <v>1.75</v>
      </c>
      <c r="F8" s="3">
        <f t="shared" si="0"/>
        <v>-1.875</v>
      </c>
      <c r="G8" s="3">
        <f t="shared" si="0"/>
        <v>3</v>
      </c>
      <c r="H8" s="3">
        <f t="shared" si="0"/>
        <v>0.171875</v>
      </c>
      <c r="I8" s="3">
        <f>H8*F8</f>
        <v>-0.322265625</v>
      </c>
      <c r="J8" s="4" t="b">
        <f t="shared" ref="J8:J59" si="1">ABS(I8)&lt;0.0001</f>
        <v>0</v>
      </c>
    </row>
    <row r="9" spans="1:10" x14ac:dyDescent="0.35">
      <c r="B9" s="3">
        <f t="shared" ref="B9:B15" si="2">B8+1</f>
        <v>3</v>
      </c>
      <c r="C9" s="3">
        <f t="shared" ref="C9:C15" si="3">IF(I8&gt;0,E8,C8)</f>
        <v>1.5</v>
      </c>
      <c r="D9" s="3">
        <f t="shared" ref="D9:D15" si="4">IF(I8&lt;0,E8,D8)</f>
        <v>1.75</v>
      </c>
      <c r="E9" s="3">
        <f t="shared" ref="E9:E15" si="5">(C9+D9)/2</f>
        <v>1.625</v>
      </c>
      <c r="F9" s="3">
        <f t="shared" ref="F9:F15" si="6">C9^3+C9^2-3*C9-3</f>
        <v>-1.875</v>
      </c>
      <c r="G9" s="3">
        <f t="shared" ref="G9:G15" si="7">D9^3+D9^2-3*D9-3</f>
        <v>0.171875</v>
      </c>
      <c r="H9" s="3">
        <f t="shared" ref="H9:H15" si="8">E9^3+E9^2-3*E9-3</f>
        <v>-0.943359375</v>
      </c>
      <c r="I9" s="3">
        <f t="shared" ref="I9:I15" si="9">H9*F9</f>
        <v>1.768798828125</v>
      </c>
      <c r="J9" s="4" t="b">
        <f t="shared" si="1"/>
        <v>0</v>
      </c>
    </row>
    <row r="10" spans="1:10" x14ac:dyDescent="0.35">
      <c r="B10" s="3">
        <f t="shared" si="2"/>
        <v>4</v>
      </c>
      <c r="C10" s="3">
        <f t="shared" si="3"/>
        <v>1.625</v>
      </c>
      <c r="D10" s="3">
        <f t="shared" si="4"/>
        <v>1.75</v>
      </c>
      <c r="E10" s="3">
        <f t="shared" si="5"/>
        <v>1.6875</v>
      </c>
      <c r="F10" s="3">
        <f t="shared" si="6"/>
        <v>-0.943359375</v>
      </c>
      <c r="G10" s="3">
        <f t="shared" si="7"/>
        <v>0.171875</v>
      </c>
      <c r="H10" s="3">
        <f t="shared" si="8"/>
        <v>-0.409423828125</v>
      </c>
      <c r="I10" s="3">
        <f t="shared" si="9"/>
        <v>0.38623380661010742</v>
      </c>
      <c r="J10" s="4" t="b">
        <f t="shared" si="1"/>
        <v>0</v>
      </c>
    </row>
    <row r="11" spans="1:10" x14ac:dyDescent="0.35">
      <c r="B11" s="3">
        <f t="shared" si="2"/>
        <v>5</v>
      </c>
      <c r="C11" s="3">
        <f t="shared" si="3"/>
        <v>1.6875</v>
      </c>
      <c r="D11" s="3">
        <f t="shared" si="4"/>
        <v>1.75</v>
      </c>
      <c r="E11" s="3">
        <f t="shared" si="5"/>
        <v>1.71875</v>
      </c>
      <c r="F11" s="3">
        <f t="shared" si="6"/>
        <v>-0.409423828125</v>
      </c>
      <c r="G11" s="3">
        <f t="shared" si="7"/>
        <v>0.171875</v>
      </c>
      <c r="H11" s="3">
        <f t="shared" si="8"/>
        <v>-0.124786376953125</v>
      </c>
      <c r="I11" s="3">
        <f t="shared" si="9"/>
        <v>5.1090516149997711E-2</v>
      </c>
      <c r="J11" s="4" t="b">
        <f t="shared" si="1"/>
        <v>0</v>
      </c>
    </row>
    <row r="12" spans="1:10" x14ac:dyDescent="0.35">
      <c r="B12" s="3">
        <f t="shared" si="2"/>
        <v>6</v>
      </c>
      <c r="C12" s="3">
        <f t="shared" si="3"/>
        <v>1.71875</v>
      </c>
      <c r="D12" s="3">
        <f t="shared" si="4"/>
        <v>1.75</v>
      </c>
      <c r="E12" s="3">
        <f t="shared" si="5"/>
        <v>1.734375</v>
      </c>
      <c r="F12" s="3">
        <f t="shared" si="6"/>
        <v>-0.124786376953125</v>
      </c>
      <c r="G12" s="3">
        <f t="shared" si="7"/>
        <v>0.171875</v>
      </c>
      <c r="H12" s="3">
        <f t="shared" si="8"/>
        <v>2.2029876708984375E-2</v>
      </c>
      <c r="I12" s="3">
        <f t="shared" si="9"/>
        <v>-2.749028499238193E-3</v>
      </c>
      <c r="J12" s="4" t="b">
        <f t="shared" si="1"/>
        <v>0</v>
      </c>
    </row>
    <row r="13" spans="1:10" x14ac:dyDescent="0.35">
      <c r="B13" s="3">
        <f t="shared" si="2"/>
        <v>7</v>
      </c>
      <c r="C13" s="3">
        <f t="shared" si="3"/>
        <v>1.71875</v>
      </c>
      <c r="D13" s="3">
        <f t="shared" si="4"/>
        <v>1.734375</v>
      </c>
      <c r="E13" s="3">
        <f t="shared" si="5"/>
        <v>1.7265625</v>
      </c>
      <c r="F13" s="3">
        <f t="shared" si="6"/>
        <v>-0.124786376953125</v>
      </c>
      <c r="G13" s="3">
        <f t="shared" si="7"/>
        <v>2.2029876708984375E-2</v>
      </c>
      <c r="H13" s="3">
        <f t="shared" si="8"/>
        <v>-5.1755428314208984E-2</v>
      </c>
      <c r="I13" s="3">
        <f t="shared" si="9"/>
        <v>6.4583723869873211E-3</v>
      </c>
      <c r="J13" s="4" t="b">
        <f t="shared" si="1"/>
        <v>0</v>
      </c>
    </row>
    <row r="14" spans="1:10" x14ac:dyDescent="0.35">
      <c r="B14" s="3">
        <f t="shared" si="2"/>
        <v>8</v>
      </c>
      <c r="C14" s="3">
        <f t="shared" si="3"/>
        <v>1.7265625</v>
      </c>
      <c r="D14" s="3">
        <f t="shared" si="4"/>
        <v>1.734375</v>
      </c>
      <c r="E14" s="3">
        <f t="shared" si="5"/>
        <v>1.73046875</v>
      </c>
      <c r="F14" s="3">
        <f t="shared" si="6"/>
        <v>-5.1755428314208984E-2</v>
      </c>
      <c r="G14" s="3">
        <f t="shared" si="7"/>
        <v>2.2029876708984375E-2</v>
      </c>
      <c r="H14" s="3">
        <f t="shared" si="8"/>
        <v>-1.4957249164581299E-2</v>
      </c>
      <c r="I14" s="3">
        <f t="shared" si="9"/>
        <v>7.7411883691524963E-4</v>
      </c>
      <c r="J14" s="4" t="b">
        <f t="shared" si="1"/>
        <v>0</v>
      </c>
    </row>
    <row r="15" spans="1:10" x14ac:dyDescent="0.35">
      <c r="B15" s="3">
        <f t="shared" si="2"/>
        <v>9</v>
      </c>
      <c r="C15" s="3">
        <f t="shared" si="3"/>
        <v>1.73046875</v>
      </c>
      <c r="D15" s="3">
        <f t="shared" si="4"/>
        <v>1.734375</v>
      </c>
      <c r="E15" s="3">
        <f t="shared" si="5"/>
        <v>1.732421875</v>
      </c>
      <c r="F15" s="3">
        <f t="shared" si="6"/>
        <v>-1.4957249164581299E-2</v>
      </c>
      <c r="G15" s="3">
        <f t="shared" si="7"/>
        <v>2.2029876708984375E-2</v>
      </c>
      <c r="H15" s="3">
        <f t="shared" si="8"/>
        <v>3.5126730799674988E-3</v>
      </c>
      <c r="I15" s="3">
        <f t="shared" si="9"/>
        <v>-5.2539926490791089E-5</v>
      </c>
      <c r="J15" s="4" t="b">
        <f t="shared" si="1"/>
        <v>1</v>
      </c>
    </row>
    <row r="16" spans="1:10" x14ac:dyDescent="0.35">
      <c r="B16" s="3">
        <f>B15+1</f>
        <v>10</v>
      </c>
      <c r="C16" s="3">
        <f>IF(I15&gt;0,E15,C15)</f>
        <v>1.73046875</v>
      </c>
      <c r="D16" s="3">
        <f>IF(I15&lt;0,E15,D15)</f>
        <v>1.732421875</v>
      </c>
      <c r="E16" s="3">
        <f>(C16+D16)/2</f>
        <v>1.7314453125</v>
      </c>
      <c r="F16" s="3">
        <f>C16^3+C16^2-3*C16-3</f>
        <v>-1.4957249164581299E-2</v>
      </c>
      <c r="G16" s="3">
        <f>D16^3+D16^2-3*D16-3</f>
        <v>3.5126730799674988E-3</v>
      </c>
      <c r="H16" s="3">
        <f>E16^3+E16^2-3*E16-3</f>
        <v>-5.728195421397686E-3</v>
      </c>
      <c r="I16" s="3">
        <f>H16*F16</f>
        <v>8.567804618125896E-5</v>
      </c>
      <c r="J16" s="4" t="b">
        <f t="shared" si="1"/>
        <v>1</v>
      </c>
    </row>
    <row r="17" spans="2:10" x14ac:dyDescent="0.35">
      <c r="B17" s="3">
        <f t="shared" ref="B17:B52" si="10">B16+1</f>
        <v>11</v>
      </c>
      <c r="C17" s="3">
        <f t="shared" ref="C17:C52" si="11">IF(I16&gt;0,E16,C16)</f>
        <v>1.7314453125</v>
      </c>
      <c r="D17" s="3">
        <f t="shared" ref="D17:D52" si="12">IF(I16&lt;0,E16,D16)</f>
        <v>1.732421875</v>
      </c>
      <c r="E17" s="3">
        <f t="shared" ref="E17:E52" si="13">(C17+D17)/2</f>
        <v>1.73193359375</v>
      </c>
      <c r="F17" s="3">
        <f t="shared" ref="F17:F52" si="14">C17^3+C17^2-3*C17-3</f>
        <v>-5.728195421397686E-3</v>
      </c>
      <c r="G17" s="3">
        <f t="shared" ref="G17:G52" si="15">D17^3+D17^2-3*D17-3</f>
        <v>3.5126730799674988E-3</v>
      </c>
      <c r="H17" s="3">
        <f t="shared" ref="H17:H52" si="16">E17^3+E17^2-3*E17-3</f>
        <v>-1.1092383647337556E-3</v>
      </c>
      <c r="I17" s="3">
        <f t="shared" ref="I17:I52" si="17">H17*F17</f>
        <v>6.3539341221065552E-6</v>
      </c>
      <c r="J17" s="4" t="b">
        <f t="shared" si="1"/>
        <v>1</v>
      </c>
    </row>
    <row r="18" spans="2:10" x14ac:dyDescent="0.35">
      <c r="B18" s="3">
        <f t="shared" si="10"/>
        <v>12</v>
      </c>
      <c r="C18" s="3">
        <f t="shared" si="11"/>
        <v>1.73193359375</v>
      </c>
      <c r="D18" s="3">
        <f t="shared" si="12"/>
        <v>1.732421875</v>
      </c>
      <c r="E18" s="3">
        <f t="shared" si="13"/>
        <v>1.732177734375</v>
      </c>
      <c r="F18" s="3">
        <f t="shared" si="14"/>
        <v>-1.1092383647337556E-3</v>
      </c>
      <c r="G18" s="3">
        <f t="shared" si="15"/>
        <v>3.5126730799674988E-3</v>
      </c>
      <c r="H18" s="3">
        <f t="shared" si="16"/>
        <v>1.2013480154564604E-3</v>
      </c>
      <c r="I18" s="3">
        <f t="shared" si="17"/>
        <v>-1.3325813081410667E-6</v>
      </c>
      <c r="J18" s="4" t="b">
        <f t="shared" si="1"/>
        <v>1</v>
      </c>
    </row>
    <row r="19" spans="2:10" x14ac:dyDescent="0.35">
      <c r="B19" s="3">
        <f t="shared" si="10"/>
        <v>13</v>
      </c>
      <c r="C19" s="3">
        <f t="shared" si="11"/>
        <v>1.73193359375</v>
      </c>
      <c r="D19" s="3">
        <f t="shared" si="12"/>
        <v>1.732177734375</v>
      </c>
      <c r="E19" s="3">
        <f t="shared" si="13"/>
        <v>1.7320556640625</v>
      </c>
      <c r="F19" s="3">
        <f t="shared" si="14"/>
        <v>-1.1092383647337556E-3</v>
      </c>
      <c r="G19" s="3">
        <f t="shared" si="15"/>
        <v>1.2013480154564604E-3</v>
      </c>
      <c r="H19" s="3">
        <f t="shared" si="16"/>
        <v>4.596249527821783E-5</v>
      </c>
      <c r="I19" s="3">
        <f t="shared" si="17"/>
        <v>-5.0983363101493308E-8</v>
      </c>
      <c r="J19" s="4" t="b">
        <f t="shared" si="1"/>
        <v>1</v>
      </c>
    </row>
    <row r="20" spans="2:10" x14ac:dyDescent="0.35">
      <c r="B20" s="3">
        <f t="shared" si="10"/>
        <v>14</v>
      </c>
      <c r="C20" s="3">
        <f t="shared" si="11"/>
        <v>1.73193359375</v>
      </c>
      <c r="D20" s="3">
        <f t="shared" si="12"/>
        <v>1.7320556640625</v>
      </c>
      <c r="E20" s="3">
        <f t="shared" si="13"/>
        <v>1.73199462890625</v>
      </c>
      <c r="F20" s="3">
        <f t="shared" si="14"/>
        <v>-1.1092383647337556E-3</v>
      </c>
      <c r="G20" s="3">
        <f t="shared" si="15"/>
        <v>4.596249527821783E-5</v>
      </c>
      <c r="H20" s="3">
        <f t="shared" si="16"/>
        <v>-5.316610165664315E-4</v>
      </c>
      <c r="I20" s="3">
        <f t="shared" si="17"/>
        <v>5.8973879660883464E-7</v>
      </c>
      <c r="J20" s="4" t="b">
        <f t="shared" si="1"/>
        <v>1</v>
      </c>
    </row>
    <row r="21" spans="2:10" x14ac:dyDescent="0.35">
      <c r="B21" s="3">
        <f t="shared" si="10"/>
        <v>15</v>
      </c>
      <c r="C21" s="3">
        <f t="shared" si="11"/>
        <v>1.73199462890625</v>
      </c>
      <c r="D21" s="3">
        <f t="shared" si="12"/>
        <v>1.7320556640625</v>
      </c>
      <c r="E21" s="3">
        <f t="shared" si="13"/>
        <v>1.732025146484375</v>
      </c>
      <c r="F21" s="3">
        <f t="shared" si="14"/>
        <v>-5.316610165664315E-4</v>
      </c>
      <c r="G21" s="3">
        <f t="shared" si="15"/>
        <v>4.596249527821783E-5</v>
      </c>
      <c r="H21" s="3">
        <f t="shared" si="16"/>
        <v>-2.4285503118903762E-4</v>
      </c>
      <c r="I21" s="3">
        <f t="shared" si="17"/>
        <v>1.2911655276023618E-7</v>
      </c>
      <c r="J21" s="4" t="b">
        <f t="shared" si="1"/>
        <v>1</v>
      </c>
    </row>
    <row r="22" spans="2:10" x14ac:dyDescent="0.35">
      <c r="B22" s="3">
        <f t="shared" si="10"/>
        <v>16</v>
      </c>
      <c r="C22" s="3">
        <f t="shared" si="11"/>
        <v>1.732025146484375</v>
      </c>
      <c r="D22" s="3">
        <f t="shared" si="12"/>
        <v>1.7320556640625</v>
      </c>
      <c r="E22" s="3">
        <f t="shared" si="13"/>
        <v>1.7320404052734375</v>
      </c>
      <c r="F22" s="3">
        <f t="shared" si="14"/>
        <v>-2.4285503118903762E-4</v>
      </c>
      <c r="G22" s="3">
        <f t="shared" si="15"/>
        <v>4.596249527821783E-5</v>
      </c>
      <c r="H22" s="3">
        <f t="shared" si="16"/>
        <v>-9.8447710602300731E-5</v>
      </c>
      <c r="I22" s="3">
        <f t="shared" si="17"/>
        <v>2.3908521828811093E-8</v>
      </c>
      <c r="J22" s="4" t="b">
        <f t="shared" si="1"/>
        <v>1</v>
      </c>
    </row>
    <row r="23" spans="2:10" x14ac:dyDescent="0.35">
      <c r="B23" s="3">
        <f t="shared" si="10"/>
        <v>17</v>
      </c>
      <c r="C23" s="3">
        <f t="shared" si="11"/>
        <v>1.7320404052734375</v>
      </c>
      <c r="D23" s="3">
        <f t="shared" si="12"/>
        <v>1.7320556640625</v>
      </c>
      <c r="E23" s="3">
        <f t="shared" si="13"/>
        <v>1.7320480346679688</v>
      </c>
      <c r="F23" s="3">
        <f t="shared" si="14"/>
        <v>-9.8447710602300731E-5</v>
      </c>
      <c r="G23" s="3">
        <f t="shared" si="15"/>
        <v>4.596249527821783E-5</v>
      </c>
      <c r="H23" s="3">
        <f t="shared" si="16"/>
        <v>-2.6242968324652338E-5</v>
      </c>
      <c r="I23" s="3">
        <f t="shared" si="17"/>
        <v>2.5835601509707181E-9</v>
      </c>
      <c r="J23" s="4" t="b">
        <f t="shared" si="1"/>
        <v>1</v>
      </c>
    </row>
    <row r="24" spans="2:10" x14ac:dyDescent="0.35">
      <c r="B24" s="3">
        <f t="shared" si="10"/>
        <v>18</v>
      </c>
      <c r="C24" s="3">
        <f t="shared" si="11"/>
        <v>1.7320480346679688</v>
      </c>
      <c r="D24" s="3">
        <f t="shared" si="12"/>
        <v>1.7320556640625</v>
      </c>
      <c r="E24" s="3">
        <f t="shared" si="13"/>
        <v>1.7320518493652344</v>
      </c>
      <c r="F24" s="3">
        <f t="shared" si="14"/>
        <v>-2.6242968324652338E-5</v>
      </c>
      <c r="G24" s="3">
        <f t="shared" si="15"/>
        <v>4.596249527821783E-5</v>
      </c>
      <c r="H24" s="3">
        <f t="shared" si="16"/>
        <v>9.8596733106859347E-6</v>
      </c>
      <c r="I24" s="3">
        <f t="shared" si="17"/>
        <v>-2.5874709438375106E-10</v>
      </c>
      <c r="J24" s="4" t="b">
        <f t="shared" si="1"/>
        <v>1</v>
      </c>
    </row>
    <row r="25" spans="2:10" x14ac:dyDescent="0.35">
      <c r="B25" s="3">
        <f t="shared" si="10"/>
        <v>19</v>
      </c>
      <c r="C25" s="3">
        <f t="shared" si="11"/>
        <v>1.7320480346679688</v>
      </c>
      <c r="D25" s="3">
        <f t="shared" si="12"/>
        <v>1.7320518493652344</v>
      </c>
      <c r="E25" s="3">
        <f t="shared" si="13"/>
        <v>1.7320499420166016</v>
      </c>
      <c r="F25" s="3">
        <f t="shared" si="14"/>
        <v>-2.6242968324652338E-5</v>
      </c>
      <c r="G25" s="3">
        <f t="shared" si="15"/>
        <v>9.8596733106859347E-6</v>
      </c>
      <c r="H25" s="3">
        <f t="shared" si="16"/>
        <v>-8.1916700480633153E-6</v>
      </c>
      <c r="I25" s="3">
        <f t="shared" si="17"/>
        <v>2.1497373759732887E-10</v>
      </c>
      <c r="J25" s="4" t="b">
        <f t="shared" si="1"/>
        <v>1</v>
      </c>
    </row>
    <row r="26" spans="2:10" x14ac:dyDescent="0.35">
      <c r="B26" s="3">
        <f t="shared" si="10"/>
        <v>20</v>
      </c>
      <c r="C26" s="3">
        <f t="shared" si="11"/>
        <v>1.7320499420166016</v>
      </c>
      <c r="D26" s="3">
        <f t="shared" si="12"/>
        <v>1.7320518493652344</v>
      </c>
      <c r="E26" s="3">
        <f t="shared" si="13"/>
        <v>1.732050895690918</v>
      </c>
      <c r="F26" s="3">
        <f t="shared" si="14"/>
        <v>-8.1916700480633153E-6</v>
      </c>
      <c r="G26" s="3">
        <f t="shared" si="15"/>
        <v>9.8596733106859347E-6</v>
      </c>
      <c r="H26" s="3">
        <f t="shared" si="16"/>
        <v>8.3399599581923667E-7</v>
      </c>
      <c r="I26" s="3">
        <f t="shared" si="17"/>
        <v>-6.8318200191571793E-12</v>
      </c>
      <c r="J26" s="4" t="b">
        <f t="shared" si="1"/>
        <v>1</v>
      </c>
    </row>
    <row r="27" spans="2:10" x14ac:dyDescent="0.35">
      <c r="B27" s="3">
        <f t="shared" si="10"/>
        <v>21</v>
      </c>
      <c r="C27" s="3">
        <f t="shared" si="11"/>
        <v>1.7320499420166016</v>
      </c>
      <c r="D27" s="3">
        <f t="shared" si="12"/>
        <v>1.732050895690918</v>
      </c>
      <c r="E27" s="3">
        <f t="shared" si="13"/>
        <v>1.7320504188537598</v>
      </c>
      <c r="F27" s="3">
        <f t="shared" si="14"/>
        <v>-8.1916700480633153E-6</v>
      </c>
      <c r="G27" s="3">
        <f t="shared" si="15"/>
        <v>8.3399599581923667E-7</v>
      </c>
      <c r="H27" s="3">
        <f t="shared" si="16"/>
        <v>-3.6788384356611914E-6</v>
      </c>
      <c r="I27" s="3">
        <f t="shared" si="17"/>
        <v>3.0135830625069882E-11</v>
      </c>
      <c r="J27" s="4" t="b">
        <f t="shared" si="1"/>
        <v>1</v>
      </c>
    </row>
    <row r="28" spans="2:10" x14ac:dyDescent="0.35">
      <c r="B28" s="3">
        <f t="shared" si="10"/>
        <v>22</v>
      </c>
      <c r="C28" s="3">
        <f t="shared" si="11"/>
        <v>1.7320504188537598</v>
      </c>
      <c r="D28" s="3">
        <f t="shared" si="12"/>
        <v>1.732050895690918</v>
      </c>
      <c r="E28" s="3">
        <f t="shared" si="13"/>
        <v>1.7320506572723389</v>
      </c>
      <c r="F28" s="3">
        <f t="shared" si="14"/>
        <v>-3.6788384356611914E-6</v>
      </c>
      <c r="G28" s="3">
        <f t="shared" si="15"/>
        <v>8.3399599581923667E-7</v>
      </c>
      <c r="H28" s="3">
        <f t="shared" si="16"/>
        <v>-1.42242157252781E-6</v>
      </c>
      <c r="I28" s="3">
        <f t="shared" si="17"/>
        <v>5.2328591527289402E-12</v>
      </c>
      <c r="J28" s="4" t="b">
        <f t="shared" si="1"/>
        <v>1</v>
      </c>
    </row>
    <row r="29" spans="2:10" x14ac:dyDescent="0.35">
      <c r="B29" s="3">
        <f t="shared" si="10"/>
        <v>23</v>
      </c>
      <c r="C29" s="3">
        <f t="shared" si="11"/>
        <v>1.7320506572723389</v>
      </c>
      <c r="D29" s="3">
        <f t="shared" si="12"/>
        <v>1.732050895690918</v>
      </c>
      <c r="E29" s="3">
        <f t="shared" si="13"/>
        <v>1.7320507764816284</v>
      </c>
      <c r="F29" s="3">
        <f t="shared" si="14"/>
        <v>-1.42242157252781E-6</v>
      </c>
      <c r="G29" s="3">
        <f t="shared" si="15"/>
        <v>8.3399599581923667E-7</v>
      </c>
      <c r="H29" s="3">
        <f t="shared" si="16"/>
        <v>-2.9421287628395021E-7</v>
      </c>
      <c r="I29" s="3">
        <f t="shared" si="17"/>
        <v>4.1849474214174645E-13</v>
      </c>
      <c r="J29" s="4" t="b">
        <f t="shared" si="1"/>
        <v>1</v>
      </c>
    </row>
    <row r="30" spans="2:10" x14ac:dyDescent="0.35">
      <c r="B30" s="3">
        <f t="shared" si="10"/>
        <v>24</v>
      </c>
      <c r="C30" s="3">
        <f t="shared" si="11"/>
        <v>1.7320507764816284</v>
      </c>
      <c r="D30" s="3">
        <f t="shared" si="12"/>
        <v>1.732050895690918</v>
      </c>
      <c r="E30" s="3">
        <f t="shared" si="13"/>
        <v>1.7320508360862732</v>
      </c>
      <c r="F30" s="3">
        <f t="shared" si="14"/>
        <v>-2.9421287628395021E-7</v>
      </c>
      <c r="G30" s="3">
        <f t="shared" si="15"/>
        <v>8.3399599581923667E-7</v>
      </c>
      <c r="H30" s="3">
        <f t="shared" si="16"/>
        <v>2.6989153667500432E-7</v>
      </c>
      <c r="I30" s="3">
        <f t="shared" si="17"/>
        <v>-7.9405565289848256E-14</v>
      </c>
      <c r="J30" s="4" t="b">
        <f t="shared" si="1"/>
        <v>1</v>
      </c>
    </row>
    <row r="31" spans="2:10" x14ac:dyDescent="0.35">
      <c r="B31" s="3">
        <f t="shared" si="10"/>
        <v>25</v>
      </c>
      <c r="C31" s="3">
        <f t="shared" si="11"/>
        <v>1.7320507764816284</v>
      </c>
      <c r="D31" s="3">
        <f t="shared" si="12"/>
        <v>1.7320508360862732</v>
      </c>
      <c r="E31" s="3">
        <f t="shared" si="13"/>
        <v>1.7320508062839508</v>
      </c>
      <c r="F31" s="3">
        <f t="shared" si="14"/>
        <v>-2.9421287628395021E-7</v>
      </c>
      <c r="G31" s="3">
        <f t="shared" si="15"/>
        <v>2.6989153667500432E-7</v>
      </c>
      <c r="H31" s="3">
        <f t="shared" si="16"/>
        <v>-1.2160676021721883E-8</v>
      </c>
      <c r="I31" s="3">
        <f t="shared" si="17"/>
        <v>3.5778274699080603E-15</v>
      </c>
      <c r="J31" s="4" t="b">
        <f t="shared" si="1"/>
        <v>1</v>
      </c>
    </row>
    <row r="32" spans="2:10" x14ac:dyDescent="0.35">
      <c r="B32" s="3">
        <f t="shared" si="10"/>
        <v>26</v>
      </c>
      <c r="C32" s="3">
        <f t="shared" si="11"/>
        <v>1.7320508062839508</v>
      </c>
      <c r="D32" s="3">
        <f t="shared" si="12"/>
        <v>1.7320508360862732</v>
      </c>
      <c r="E32" s="3">
        <f t="shared" si="13"/>
        <v>1.732050821185112</v>
      </c>
      <c r="F32" s="3">
        <f t="shared" si="14"/>
        <v>-1.2160676021721883E-8</v>
      </c>
      <c r="G32" s="3">
        <f t="shared" si="15"/>
        <v>2.6989153667500432E-7</v>
      </c>
      <c r="H32" s="3">
        <f t="shared" si="16"/>
        <v>1.2886543032664122E-7</v>
      </c>
      <c r="I32" s="3">
        <f t="shared" si="17"/>
        <v>-1.5670907486020579E-15</v>
      </c>
      <c r="J32" s="4" t="b">
        <f t="shared" si="1"/>
        <v>1</v>
      </c>
    </row>
    <row r="33" spans="2:10" x14ac:dyDescent="0.35">
      <c r="B33" s="3">
        <f t="shared" si="10"/>
        <v>27</v>
      </c>
      <c r="C33" s="3">
        <f t="shared" si="11"/>
        <v>1.7320508062839508</v>
      </c>
      <c r="D33" s="3">
        <f t="shared" si="12"/>
        <v>1.732050821185112</v>
      </c>
      <c r="E33" s="3">
        <f t="shared" si="13"/>
        <v>1.7320508137345314</v>
      </c>
      <c r="F33" s="3">
        <f t="shared" si="14"/>
        <v>-1.2160676021721883E-8</v>
      </c>
      <c r="G33" s="3">
        <f t="shared" si="15"/>
        <v>1.2886543032664122E-7</v>
      </c>
      <c r="H33" s="3">
        <f t="shared" si="16"/>
        <v>5.8352377152459667E-8</v>
      </c>
      <c r="I33" s="3">
        <f t="shared" si="17"/>
        <v>-7.0960435364838815E-16</v>
      </c>
      <c r="J33" s="4" t="b">
        <f t="shared" si="1"/>
        <v>1</v>
      </c>
    </row>
    <row r="34" spans="2:10" x14ac:dyDescent="0.35">
      <c r="B34" s="3">
        <f t="shared" si="10"/>
        <v>28</v>
      </c>
      <c r="C34" s="3">
        <f t="shared" si="11"/>
        <v>1.7320508062839508</v>
      </c>
      <c r="D34" s="3">
        <f t="shared" si="12"/>
        <v>1.7320508137345314</v>
      </c>
      <c r="E34" s="3">
        <f t="shared" si="13"/>
        <v>1.7320508100092411</v>
      </c>
      <c r="F34" s="3">
        <f t="shared" si="14"/>
        <v>-1.2160676021721883E-8</v>
      </c>
      <c r="G34" s="3">
        <f t="shared" si="15"/>
        <v>5.8352377152459667E-8</v>
      </c>
      <c r="H34" s="3">
        <f t="shared" si="16"/>
        <v>2.3095852341725731E-8</v>
      </c>
      <c r="I34" s="3">
        <f t="shared" si="17"/>
        <v>-2.8086117777325331E-16</v>
      </c>
      <c r="J34" s="4" t="b">
        <f t="shared" si="1"/>
        <v>1</v>
      </c>
    </row>
    <row r="35" spans="2:10" x14ac:dyDescent="0.35">
      <c r="B35" s="3">
        <f t="shared" si="10"/>
        <v>29</v>
      </c>
      <c r="C35" s="3">
        <f t="shared" si="11"/>
        <v>1.7320508062839508</v>
      </c>
      <c r="D35" s="3">
        <f t="shared" si="12"/>
        <v>1.7320508100092411</v>
      </c>
      <c r="E35" s="3">
        <f t="shared" si="13"/>
        <v>1.732050808146596</v>
      </c>
      <c r="F35" s="3">
        <f t="shared" si="14"/>
        <v>-1.2160676021721883E-8</v>
      </c>
      <c r="G35" s="3">
        <f t="shared" si="15"/>
        <v>2.3095852341725731E-8</v>
      </c>
      <c r="H35" s="3">
        <f t="shared" si="16"/>
        <v>5.4675872718235041E-9</v>
      </c>
      <c r="I35" s="3">
        <f t="shared" si="17"/>
        <v>-6.6489557433135856E-17</v>
      </c>
      <c r="J35" s="4" t="b">
        <f t="shared" si="1"/>
        <v>1</v>
      </c>
    </row>
    <row r="36" spans="2:10" x14ac:dyDescent="0.35">
      <c r="B36" s="3">
        <f t="shared" si="10"/>
        <v>30</v>
      </c>
      <c r="C36" s="3">
        <f t="shared" si="11"/>
        <v>1.7320508062839508</v>
      </c>
      <c r="D36" s="3">
        <f t="shared" si="12"/>
        <v>1.732050808146596</v>
      </c>
      <c r="E36" s="3">
        <f t="shared" si="13"/>
        <v>1.7320508072152734</v>
      </c>
      <c r="F36" s="3">
        <f t="shared" si="14"/>
        <v>-1.2160676021721883E-8</v>
      </c>
      <c r="G36" s="3">
        <f t="shared" si="15"/>
        <v>5.4675872718235041E-9</v>
      </c>
      <c r="H36" s="3">
        <f t="shared" si="16"/>
        <v>-3.3465425985923503E-9</v>
      </c>
      <c r="I36" s="3">
        <f t="shared" si="17"/>
        <v>4.0696220334372836E-17</v>
      </c>
      <c r="J36" s="4" t="b">
        <f t="shared" si="1"/>
        <v>1</v>
      </c>
    </row>
    <row r="37" spans="2:10" x14ac:dyDescent="0.35">
      <c r="B37" s="3">
        <f t="shared" si="10"/>
        <v>31</v>
      </c>
      <c r="C37" s="3">
        <f t="shared" si="11"/>
        <v>1.7320508072152734</v>
      </c>
      <c r="D37" s="3">
        <f t="shared" si="12"/>
        <v>1.732050808146596</v>
      </c>
      <c r="E37" s="3">
        <f t="shared" si="13"/>
        <v>1.7320508076809347</v>
      </c>
      <c r="F37" s="3">
        <f t="shared" si="14"/>
        <v>-3.3465425985923503E-9</v>
      </c>
      <c r="G37" s="3">
        <f t="shared" si="15"/>
        <v>5.4675872718235041E-9</v>
      </c>
      <c r="H37" s="3">
        <f t="shared" si="16"/>
        <v>1.0605223366155769E-9</v>
      </c>
      <c r="I37" s="3">
        <f t="shared" si="17"/>
        <v>-3.549083176242724E-18</v>
      </c>
      <c r="J37" s="4" t="b">
        <f t="shared" si="1"/>
        <v>1</v>
      </c>
    </row>
    <row r="38" spans="2:10" x14ac:dyDescent="0.35">
      <c r="B38" s="3">
        <f t="shared" si="10"/>
        <v>32</v>
      </c>
      <c r="C38" s="3">
        <f t="shared" si="11"/>
        <v>1.7320508072152734</v>
      </c>
      <c r="D38" s="3">
        <f t="shared" si="12"/>
        <v>1.7320508076809347</v>
      </c>
      <c r="E38" s="3">
        <f t="shared" si="13"/>
        <v>1.732050807448104</v>
      </c>
      <c r="F38" s="3">
        <f t="shared" si="14"/>
        <v>-3.3465425985923503E-9</v>
      </c>
      <c r="G38" s="3">
        <f t="shared" si="15"/>
        <v>1.0605223366155769E-9</v>
      </c>
      <c r="H38" s="3">
        <f t="shared" si="16"/>
        <v>-1.143009242809967E-9</v>
      </c>
      <c r="I38" s="3">
        <f t="shared" si="17"/>
        <v>3.8251291216483415E-18</v>
      </c>
      <c r="J38" s="4" t="b">
        <f t="shared" si="1"/>
        <v>1</v>
      </c>
    </row>
    <row r="39" spans="2:10" x14ac:dyDescent="0.35">
      <c r="B39" s="3">
        <f t="shared" si="10"/>
        <v>33</v>
      </c>
      <c r="C39" s="3">
        <f t="shared" si="11"/>
        <v>1.732050807448104</v>
      </c>
      <c r="D39" s="3">
        <f t="shared" si="12"/>
        <v>1.7320508076809347</v>
      </c>
      <c r="E39" s="3">
        <f t="shared" si="13"/>
        <v>1.7320508075645193</v>
      </c>
      <c r="F39" s="3">
        <f t="shared" si="14"/>
        <v>-1.143009242809967E-9</v>
      </c>
      <c r="G39" s="3">
        <f t="shared" si="15"/>
        <v>1.0605223366155769E-9</v>
      </c>
      <c r="H39" s="3">
        <f t="shared" si="16"/>
        <v>-4.1243453097195015E-11</v>
      </c>
      <c r="I39" s="3">
        <f t="shared" si="17"/>
        <v>4.7141648095493261E-20</v>
      </c>
      <c r="J39" s="4" t="b">
        <f t="shared" si="1"/>
        <v>1</v>
      </c>
    </row>
    <row r="40" spans="2:10" x14ac:dyDescent="0.35">
      <c r="B40" s="3">
        <f t="shared" si="10"/>
        <v>34</v>
      </c>
      <c r="C40" s="3">
        <f t="shared" si="11"/>
        <v>1.7320508075645193</v>
      </c>
      <c r="D40" s="3">
        <f t="shared" si="12"/>
        <v>1.7320508076809347</v>
      </c>
      <c r="E40" s="3">
        <f t="shared" si="13"/>
        <v>1.732050807622727</v>
      </c>
      <c r="F40" s="3">
        <f t="shared" si="14"/>
        <v>-4.1243453097195015E-11</v>
      </c>
      <c r="G40" s="3">
        <f t="shared" si="15"/>
        <v>1.0605223366155769E-9</v>
      </c>
      <c r="H40" s="3">
        <f t="shared" si="16"/>
        <v>5.0964032993761066E-10</v>
      </c>
      <c r="I40" s="3">
        <f t="shared" si="17"/>
        <v>-2.1019327044220838E-20</v>
      </c>
      <c r="J40" s="4" t="b">
        <f t="shared" si="1"/>
        <v>1</v>
      </c>
    </row>
    <row r="41" spans="2:10" x14ac:dyDescent="0.35">
      <c r="B41" s="3">
        <f t="shared" si="10"/>
        <v>35</v>
      </c>
      <c r="C41" s="3">
        <f t="shared" si="11"/>
        <v>1.7320508075645193</v>
      </c>
      <c r="D41" s="3">
        <f t="shared" si="12"/>
        <v>1.732050807622727</v>
      </c>
      <c r="E41" s="3">
        <f t="shared" si="13"/>
        <v>1.7320508075936232</v>
      </c>
      <c r="F41" s="3">
        <f t="shared" si="14"/>
        <v>-4.1243453097195015E-11</v>
      </c>
      <c r="G41" s="3">
        <f t="shared" si="15"/>
        <v>5.0964032993761066E-10</v>
      </c>
      <c r="H41" s="3">
        <f t="shared" si="16"/>
        <v>2.3419666206336842E-10</v>
      </c>
      <c r="I41" s="3">
        <f t="shared" si="17"/>
        <v>-9.6590790473301667E-21</v>
      </c>
      <c r="J41" s="4" t="b">
        <f t="shared" si="1"/>
        <v>1</v>
      </c>
    </row>
    <row r="42" spans="2:10" x14ac:dyDescent="0.35">
      <c r="B42" s="3">
        <f t="shared" si="10"/>
        <v>36</v>
      </c>
      <c r="C42" s="3">
        <f t="shared" si="11"/>
        <v>1.7320508075645193</v>
      </c>
      <c r="D42" s="3">
        <f t="shared" si="12"/>
        <v>1.7320508075936232</v>
      </c>
      <c r="E42" s="3">
        <f t="shared" si="13"/>
        <v>1.7320508075790713</v>
      </c>
      <c r="F42" s="3">
        <f t="shared" si="14"/>
        <v>-4.1243453097195015E-11</v>
      </c>
      <c r="G42" s="3">
        <f t="shared" si="15"/>
        <v>2.3419666206336842E-10</v>
      </c>
      <c r="H42" s="3">
        <f t="shared" si="16"/>
        <v>9.6477492661506403E-11</v>
      </c>
      <c r="I42" s="3">
        <f t="shared" si="17"/>
        <v>-3.9790649435198156E-21</v>
      </c>
      <c r="J42" s="4" t="b">
        <f t="shared" si="1"/>
        <v>1</v>
      </c>
    </row>
    <row r="43" spans="2:10" x14ac:dyDescent="0.35">
      <c r="B43" s="3">
        <f t="shared" si="10"/>
        <v>37</v>
      </c>
      <c r="C43" s="3">
        <f t="shared" si="11"/>
        <v>1.7320508075645193</v>
      </c>
      <c r="D43" s="3">
        <f t="shared" si="12"/>
        <v>1.7320508075790713</v>
      </c>
      <c r="E43" s="3">
        <f t="shared" si="13"/>
        <v>1.7320508075717953</v>
      </c>
      <c r="F43" s="3">
        <f t="shared" si="14"/>
        <v>-4.1243453097195015E-11</v>
      </c>
      <c r="G43" s="3">
        <f t="shared" si="15"/>
        <v>9.6477492661506403E-11</v>
      </c>
      <c r="H43" s="3">
        <f t="shared" si="16"/>
        <v>2.7615243425316294E-11</v>
      </c>
      <c r="I43" s="3">
        <f t="shared" si="17"/>
        <v>-1.1389479969796556E-21</v>
      </c>
      <c r="J43" s="4" t="b">
        <f t="shared" si="1"/>
        <v>1</v>
      </c>
    </row>
    <row r="44" spans="2:10" x14ac:dyDescent="0.35">
      <c r="B44" s="3">
        <f t="shared" si="10"/>
        <v>38</v>
      </c>
      <c r="C44" s="3">
        <f t="shared" si="11"/>
        <v>1.7320508075645193</v>
      </c>
      <c r="D44" s="3">
        <f t="shared" si="12"/>
        <v>1.7320508075717953</v>
      </c>
      <c r="E44" s="3">
        <f t="shared" si="13"/>
        <v>1.7320508075681573</v>
      </c>
      <c r="F44" s="3">
        <f t="shared" si="14"/>
        <v>-4.1243453097195015E-11</v>
      </c>
      <c r="G44" s="3">
        <f t="shared" si="15"/>
        <v>2.7615243425316294E-11</v>
      </c>
      <c r="H44" s="3">
        <f t="shared" si="16"/>
        <v>-6.8141048359393608E-12</v>
      </c>
      <c r="I44" s="3">
        <f t="shared" si="17"/>
        <v>2.8103721320043476E-22</v>
      </c>
      <c r="J44" s="4" t="b">
        <f t="shared" si="1"/>
        <v>1</v>
      </c>
    </row>
    <row r="45" spans="2:10" x14ac:dyDescent="0.35">
      <c r="B45" s="3">
        <f t="shared" si="10"/>
        <v>39</v>
      </c>
      <c r="C45" s="3">
        <f t="shared" si="11"/>
        <v>1.7320508075681573</v>
      </c>
      <c r="D45" s="3">
        <f t="shared" si="12"/>
        <v>1.7320508075717953</v>
      </c>
      <c r="E45" s="3">
        <f t="shared" si="13"/>
        <v>1.7320508075699763</v>
      </c>
      <c r="F45" s="3">
        <f t="shared" si="14"/>
        <v>-6.8141048359393608E-12</v>
      </c>
      <c r="G45" s="3">
        <f t="shared" si="15"/>
        <v>2.7615243425316294E-11</v>
      </c>
      <c r="H45" s="3">
        <f t="shared" si="16"/>
        <v>1.0400569294688466E-11</v>
      </c>
      <c r="I45" s="3">
        <f t="shared" si="17"/>
        <v>-7.0870569527459106E-23</v>
      </c>
      <c r="J45" s="4" t="b">
        <f t="shared" si="1"/>
        <v>1</v>
      </c>
    </row>
    <row r="46" spans="2:10" x14ac:dyDescent="0.35">
      <c r="B46" s="3">
        <f t="shared" si="10"/>
        <v>40</v>
      </c>
      <c r="C46" s="3">
        <f t="shared" si="11"/>
        <v>1.7320508075681573</v>
      </c>
      <c r="D46" s="3">
        <f t="shared" si="12"/>
        <v>1.7320508075699763</v>
      </c>
      <c r="E46" s="3">
        <f t="shared" si="13"/>
        <v>1.7320508075690668</v>
      </c>
      <c r="F46" s="3">
        <f t="shared" si="14"/>
        <v>-6.8141048359393608E-12</v>
      </c>
      <c r="G46" s="3">
        <f t="shared" si="15"/>
        <v>1.0400569294688466E-11</v>
      </c>
      <c r="H46" s="3">
        <f t="shared" si="16"/>
        <v>1.794120407794253E-12</v>
      </c>
      <c r="I46" s="3">
        <f t="shared" si="17"/>
        <v>-1.2225324547008317E-23</v>
      </c>
      <c r="J46" s="4" t="b">
        <f t="shared" si="1"/>
        <v>1</v>
      </c>
    </row>
    <row r="47" spans="2:10" x14ac:dyDescent="0.35">
      <c r="B47" s="3">
        <f t="shared" si="10"/>
        <v>41</v>
      </c>
      <c r="C47" s="3">
        <f t="shared" si="11"/>
        <v>1.7320508075681573</v>
      </c>
      <c r="D47" s="3">
        <f t="shared" si="12"/>
        <v>1.7320508075690668</v>
      </c>
      <c r="E47" s="3">
        <f t="shared" si="13"/>
        <v>1.7320508075686121</v>
      </c>
      <c r="F47" s="3">
        <f t="shared" si="14"/>
        <v>-6.8141048359393608E-12</v>
      </c>
      <c r="G47" s="3">
        <f t="shared" si="15"/>
        <v>1.794120407794253E-12</v>
      </c>
      <c r="H47" s="3">
        <f t="shared" si="16"/>
        <v>-2.5099922140725539E-12</v>
      </c>
      <c r="I47" s="3">
        <f t="shared" si="17"/>
        <v>1.7103350084081933E-23</v>
      </c>
      <c r="J47" s="4" t="b">
        <f t="shared" si="1"/>
        <v>1</v>
      </c>
    </row>
    <row r="48" spans="2:10" x14ac:dyDescent="0.35">
      <c r="B48" s="3">
        <f t="shared" si="10"/>
        <v>42</v>
      </c>
      <c r="C48" s="3">
        <f t="shared" si="11"/>
        <v>1.7320508075686121</v>
      </c>
      <c r="D48" s="3">
        <f t="shared" si="12"/>
        <v>1.7320508075690668</v>
      </c>
      <c r="E48" s="3">
        <f t="shared" si="13"/>
        <v>1.7320508075688394</v>
      </c>
      <c r="F48" s="3">
        <f t="shared" si="14"/>
        <v>-2.5099922140725539E-12</v>
      </c>
      <c r="G48" s="3">
        <f t="shared" si="15"/>
        <v>1.794120407794253E-12</v>
      </c>
      <c r="H48" s="3">
        <f t="shared" si="16"/>
        <v>-3.5704772471945034E-13</v>
      </c>
      <c r="I48" s="3">
        <f t="shared" si="17"/>
        <v>8.961870090981409E-25</v>
      </c>
      <c r="J48" s="4" t="b">
        <f t="shared" si="1"/>
        <v>1</v>
      </c>
    </row>
    <row r="49" spans="2:10" x14ac:dyDescent="0.35">
      <c r="B49" s="3">
        <f t="shared" si="10"/>
        <v>43</v>
      </c>
      <c r="C49" s="3">
        <f t="shared" si="11"/>
        <v>1.7320508075688394</v>
      </c>
      <c r="D49" s="3">
        <f t="shared" si="12"/>
        <v>1.7320508075690668</v>
      </c>
      <c r="E49" s="3">
        <f t="shared" si="13"/>
        <v>1.7320508075689531</v>
      </c>
      <c r="F49" s="3">
        <f t="shared" si="14"/>
        <v>-3.5704772471945034E-13</v>
      </c>
      <c r="G49" s="3">
        <f t="shared" si="15"/>
        <v>1.794120407794253E-12</v>
      </c>
      <c r="H49" s="3">
        <f t="shared" si="16"/>
        <v>7.1764816311770119E-13</v>
      </c>
      <c r="I49" s="3">
        <f t="shared" si="17"/>
        <v>-2.5623464379026817E-25</v>
      </c>
      <c r="J49" s="4" t="b">
        <f t="shared" si="1"/>
        <v>1</v>
      </c>
    </row>
    <row r="50" spans="2:10" x14ac:dyDescent="0.35">
      <c r="B50" s="3">
        <f t="shared" si="10"/>
        <v>44</v>
      </c>
      <c r="C50" s="3">
        <f t="shared" si="11"/>
        <v>1.7320508075688394</v>
      </c>
      <c r="D50" s="3">
        <f t="shared" si="12"/>
        <v>1.7320508075689531</v>
      </c>
      <c r="E50" s="3">
        <f t="shared" si="13"/>
        <v>1.7320508075688963</v>
      </c>
      <c r="F50" s="3">
        <f t="shared" si="14"/>
        <v>-3.5704772471945034E-13</v>
      </c>
      <c r="G50" s="3">
        <f t="shared" si="15"/>
        <v>7.1764816311770119E-13</v>
      </c>
      <c r="H50" s="3">
        <f t="shared" si="16"/>
        <v>1.794120407794253E-13</v>
      </c>
      <c r="I50" s="3">
        <f t="shared" si="17"/>
        <v>-6.4058660947567043E-26</v>
      </c>
      <c r="J50" s="4" t="b">
        <f t="shared" si="1"/>
        <v>1</v>
      </c>
    </row>
    <row r="51" spans="2:10" x14ac:dyDescent="0.35">
      <c r="B51" s="3">
        <f t="shared" si="10"/>
        <v>45</v>
      </c>
      <c r="C51" s="3">
        <f t="shared" si="11"/>
        <v>1.7320508075688394</v>
      </c>
      <c r="D51" s="3">
        <f t="shared" si="12"/>
        <v>1.7320508075688963</v>
      </c>
      <c r="E51" s="3">
        <f t="shared" si="13"/>
        <v>1.7320508075688679</v>
      </c>
      <c r="F51" s="3">
        <f t="shared" si="14"/>
        <v>-3.5704772471945034E-13</v>
      </c>
      <c r="G51" s="3">
        <f t="shared" si="15"/>
        <v>1.794120407794253E-13</v>
      </c>
      <c r="H51" s="3">
        <f t="shared" si="16"/>
        <v>-8.8817841970012523E-14</v>
      </c>
      <c r="I51" s="3">
        <f t="shared" si="17"/>
        <v>3.1712208389884675E-26</v>
      </c>
      <c r="J51" s="4" t="b">
        <f t="shared" si="1"/>
        <v>1</v>
      </c>
    </row>
    <row r="52" spans="2:10" x14ac:dyDescent="0.35">
      <c r="B52" s="3">
        <f t="shared" si="10"/>
        <v>46</v>
      </c>
      <c r="C52" s="3">
        <f t="shared" si="11"/>
        <v>1.7320508075688679</v>
      </c>
      <c r="D52" s="3">
        <f t="shared" si="12"/>
        <v>1.7320508075688963</v>
      </c>
      <c r="E52" s="3">
        <f t="shared" si="13"/>
        <v>1.7320508075688821</v>
      </c>
      <c r="F52" s="3">
        <f t="shared" si="14"/>
        <v>-8.8817841970012523E-14</v>
      </c>
      <c r="G52" s="3">
        <f t="shared" si="15"/>
        <v>1.794120407794253E-13</v>
      </c>
      <c r="H52" s="3">
        <f t="shared" si="16"/>
        <v>4.4408920985006262E-14</v>
      </c>
      <c r="I52" s="3">
        <f t="shared" si="17"/>
        <v>-3.944304526105059E-27</v>
      </c>
      <c r="J52" s="4" t="b">
        <f t="shared" si="1"/>
        <v>1</v>
      </c>
    </row>
    <row r="53" spans="2:10" x14ac:dyDescent="0.35">
      <c r="B53" s="3">
        <f>B52+1</f>
        <v>47</v>
      </c>
      <c r="C53" s="3">
        <f>IF(I52&gt;0,E52,C52)</f>
        <v>1.7320508075688679</v>
      </c>
      <c r="D53" s="3">
        <f>IF(I52&lt;0,E52,D52)</f>
        <v>1.7320508075688821</v>
      </c>
      <c r="E53" s="3">
        <f>(C53+D53)/2</f>
        <v>1.732050807568875</v>
      </c>
      <c r="F53" s="3">
        <f>C53^3+C53^2-3*C53-3</f>
        <v>-8.8817841970012523E-14</v>
      </c>
      <c r="G53" s="3">
        <f>D53^3+D53^2-3*D53-3</f>
        <v>4.4408920985006262E-14</v>
      </c>
      <c r="H53" s="3">
        <f>E53^3+E53^2-3*E53-3</f>
        <v>-2.1316282072803006E-14</v>
      </c>
      <c r="I53" s="3">
        <f>H53*F53</f>
        <v>1.8932661725304283E-27</v>
      </c>
      <c r="J53" s="4" t="b">
        <f t="shared" si="1"/>
        <v>1</v>
      </c>
    </row>
    <row r="54" spans="2:10" x14ac:dyDescent="0.35">
      <c r="B54" s="3">
        <f t="shared" ref="B54:B55" si="18">B53+1</f>
        <v>48</v>
      </c>
      <c r="C54" s="3">
        <f t="shared" ref="C54:C55" si="19">IF(I53&gt;0,E53,C53)</f>
        <v>1.732050807568875</v>
      </c>
      <c r="D54" s="3">
        <f t="shared" ref="D54:D55" si="20">IF(I53&lt;0,E53,D53)</f>
        <v>1.7320508075688821</v>
      </c>
      <c r="E54" s="3">
        <f t="shared" ref="E54:E55" si="21">(C54+D54)/2</f>
        <v>1.7320508075688785</v>
      </c>
      <c r="F54" s="3">
        <f t="shared" ref="F54:F55" si="22">C54^3+C54^2-3*C54-3</f>
        <v>-2.1316282072803006E-14</v>
      </c>
      <c r="G54" s="3">
        <f t="shared" ref="G54:G55" si="23">D54^3+D54^2-3*D54-3</f>
        <v>4.4408920985006262E-14</v>
      </c>
      <c r="H54" s="3">
        <f t="shared" ref="H54:H55" si="24">E54^3+E54^2-3*E54-3</f>
        <v>1.2434497875801753E-14</v>
      </c>
      <c r="I54" s="3">
        <f t="shared" ref="I54:I55" si="25">H54*F54</f>
        <v>-2.6505726415425997E-28</v>
      </c>
      <c r="J54" s="4" t="b">
        <f t="shared" si="1"/>
        <v>1</v>
      </c>
    </row>
    <row r="55" spans="2:10" x14ac:dyDescent="0.35">
      <c r="B55" s="3">
        <f t="shared" si="18"/>
        <v>49</v>
      </c>
      <c r="C55" s="3">
        <f t="shared" si="19"/>
        <v>1.732050807568875</v>
      </c>
      <c r="D55" s="3">
        <f t="shared" si="20"/>
        <v>1.7320508075688785</v>
      </c>
      <c r="E55" s="3">
        <f t="shared" si="21"/>
        <v>1.7320508075688767</v>
      </c>
      <c r="F55" s="3">
        <f t="shared" si="22"/>
        <v>-2.1316282072803006E-14</v>
      </c>
      <c r="G55" s="3">
        <f t="shared" si="23"/>
        <v>1.2434497875801753E-14</v>
      </c>
      <c r="H55" s="3">
        <f t="shared" si="24"/>
        <v>-5.3290705182007514E-15</v>
      </c>
      <c r="I55" s="3">
        <f t="shared" si="25"/>
        <v>1.135959703518257E-28</v>
      </c>
      <c r="J55" s="4" t="b">
        <f t="shared" si="1"/>
        <v>1</v>
      </c>
    </row>
    <row r="56" spans="2:10" x14ac:dyDescent="0.35">
      <c r="B56" s="3">
        <f>B55+1</f>
        <v>50</v>
      </c>
      <c r="C56" s="3">
        <f>IF(I55&gt;0,E55,C55)</f>
        <v>1.7320508075688767</v>
      </c>
      <c r="D56" s="3">
        <f>IF(I55&lt;0,E55,D55)</f>
        <v>1.7320508075688785</v>
      </c>
      <c r="E56" s="3">
        <f>(C56+D56)/2</f>
        <v>1.7320508075688776</v>
      </c>
      <c r="F56" s="3">
        <f t="shared" ref="F56:H58" si="26">C56^3+C56^2-3*C56-3</f>
        <v>-5.3290705182007514E-15</v>
      </c>
      <c r="G56" s="3">
        <f t="shared" si="26"/>
        <v>1.2434497875801753E-14</v>
      </c>
      <c r="H56" s="3">
        <f t="shared" si="26"/>
        <v>4.4408920985006262E-15</v>
      </c>
      <c r="I56" s="3">
        <f>H56*F56</f>
        <v>-2.3665827156630354E-29</v>
      </c>
      <c r="J56" s="4" t="b">
        <f t="shared" si="1"/>
        <v>1</v>
      </c>
    </row>
    <row r="57" spans="2:10" x14ac:dyDescent="0.35">
      <c r="B57" s="3">
        <f>B56+1</f>
        <v>51</v>
      </c>
      <c r="C57" s="3">
        <f>IF(I56&gt;0,E56,C56)</f>
        <v>1.7320508075688767</v>
      </c>
      <c r="D57" s="3">
        <f>IF(I56&lt;0,E56,D56)</f>
        <v>1.7320508075688776</v>
      </c>
      <c r="E57" s="3">
        <f>(C57+D57)/2</f>
        <v>1.7320508075688772</v>
      </c>
      <c r="F57" s="3">
        <f t="shared" si="26"/>
        <v>-5.3290705182007514E-15</v>
      </c>
      <c r="G57" s="3">
        <f t="shared" si="26"/>
        <v>4.4408920985006262E-15</v>
      </c>
      <c r="H57" s="3">
        <f t="shared" si="26"/>
        <v>0</v>
      </c>
      <c r="I57" s="3">
        <f>H57*F57</f>
        <v>0</v>
      </c>
      <c r="J57" s="4" t="b">
        <f t="shared" si="1"/>
        <v>1</v>
      </c>
    </row>
    <row r="58" spans="2:10" x14ac:dyDescent="0.35">
      <c r="B58" s="3">
        <f>B57+1</f>
        <v>52</v>
      </c>
      <c r="C58" s="3">
        <f>IF(I57&gt;0,E57,C57)</f>
        <v>1.7320508075688767</v>
      </c>
      <c r="D58" s="3">
        <f>IF(I57&lt;0,E57,D57)</f>
        <v>1.7320508075688776</v>
      </c>
      <c r="E58" s="3">
        <f>(C58+D58)/2</f>
        <v>1.7320508075688772</v>
      </c>
      <c r="F58" s="3">
        <f t="shared" si="26"/>
        <v>-5.3290705182007514E-15</v>
      </c>
      <c r="G58" s="3">
        <f t="shared" si="26"/>
        <v>4.4408920985006262E-15</v>
      </c>
      <c r="H58" s="3">
        <f t="shared" si="26"/>
        <v>0</v>
      </c>
      <c r="I58" s="3">
        <f>H58*F58</f>
        <v>0</v>
      </c>
      <c r="J58" s="4" t="b">
        <f t="shared" si="1"/>
        <v>1</v>
      </c>
    </row>
    <row r="59" spans="2:10" x14ac:dyDescent="0.35">
      <c r="B59" s="3">
        <f t="shared" ref="B59" si="27">B58+1</f>
        <v>53</v>
      </c>
      <c r="C59" s="3">
        <f t="shared" ref="C59" si="28">IF(I58&gt;0,E58,C58)</f>
        <v>1.7320508075688767</v>
      </c>
      <c r="D59" s="3">
        <f t="shared" ref="D59" si="29">IF(I58&lt;0,E58,D58)</f>
        <v>1.7320508075688776</v>
      </c>
      <c r="E59" s="3">
        <f t="shared" ref="E59" si="30">(C59+D59)/2</f>
        <v>1.7320508075688772</v>
      </c>
      <c r="F59" s="3">
        <f t="shared" ref="F59" si="31">C59^3+C59^2-3*C59-3</f>
        <v>-5.3290705182007514E-15</v>
      </c>
      <c r="G59" s="3">
        <f t="shared" ref="G59" si="32">D59^3+D59^2-3*D59-3</f>
        <v>4.4408920985006262E-15</v>
      </c>
      <c r="H59" s="3">
        <f t="shared" ref="H59" si="33">E59^3+E59^2-3*E59-3</f>
        <v>0</v>
      </c>
      <c r="I59" s="3">
        <f t="shared" ref="I59" si="34">H59*F59</f>
        <v>0</v>
      </c>
      <c r="J59" s="4" t="b">
        <f t="shared" si="1"/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2022-04-15T13:00:47Z</dcterms:created>
  <dcterms:modified xsi:type="dcterms:W3CDTF">2022-04-16T14:32:48Z</dcterms:modified>
</cp:coreProperties>
</file>