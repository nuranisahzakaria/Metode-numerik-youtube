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eri Kuliah\Semester 4\Metode Numerik\03. Metode Numerik Youtube\"/>
    </mc:Choice>
  </mc:AlternateContent>
  <xr:revisionPtr revIDLastSave="0" documentId="13_ncr:1_{55D28CD9-1B6A-422C-A518-B7ACAFE9E6EE}" xr6:coauthVersionLast="45" xr6:coauthVersionMax="45" xr10:uidLastSave="{00000000-0000-0000-0000-000000000000}"/>
  <bookViews>
    <workbookView xWindow="-110" yWindow="-110" windowWidth="19420" windowHeight="10420" xr2:uid="{DA2BD9DF-8305-4081-8DC0-98FC514AA6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F7" i="1"/>
  <c r="F8" i="1"/>
  <c r="F9" i="1"/>
  <c r="F5" i="1"/>
  <c r="E6" i="1"/>
  <c r="E7" i="1"/>
  <c r="E8" i="1" s="1"/>
  <c r="E9" i="1" s="1"/>
  <c r="E5" i="1"/>
  <c r="D5" i="1"/>
  <c r="D6" i="1"/>
  <c r="D7" i="1"/>
  <c r="D8" i="1"/>
  <c r="D9" i="1"/>
  <c r="D4" i="1"/>
  <c r="C5" i="1"/>
  <c r="C6" i="1"/>
  <c r="C7" i="1"/>
  <c r="C8" i="1"/>
  <c r="C9" i="1"/>
  <c r="C4" i="1"/>
  <c r="B6" i="1"/>
  <c r="B7" i="1"/>
  <c r="B8" i="1" s="1"/>
  <c r="B9" i="1" s="1"/>
  <c r="B5" i="1"/>
</calcChain>
</file>

<file path=xl/sharedStrings.xml><?xml version="1.0" encoding="utf-8"?>
<sst xmlns="http://schemas.openxmlformats.org/spreadsheetml/2006/main" count="10" uniqueCount="10">
  <si>
    <t>Metode Euler</t>
  </si>
  <si>
    <t>Xn</t>
  </si>
  <si>
    <t>Y eksak</t>
  </si>
  <si>
    <t>y n+1</t>
  </si>
  <si>
    <t>f (xn.yn)</t>
  </si>
  <si>
    <t>Error %</t>
  </si>
  <si>
    <t>3x^5+x^2-9</t>
  </si>
  <si>
    <t>persamaan analitiknya</t>
  </si>
  <si>
    <t>dy/dx</t>
  </si>
  <si>
    <t>15x^4+2x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</si>
</sst>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222A1-3173-4674-92BE-FD1DB2E29ED1}">
  <dimension ref="B1:J9"/>
  <sheetViews>
    <sheetView tabSelected="1" workbookViewId="0">
      <selection activeCell="F5" sqref="F5:F9"/>
    </sheetView>
  </sheetViews>
  <sheetFormatPr defaultRowHeight="14.5" x14ac:dyDescent="0.35"/>
  <sheetData>
    <row r="1" spans="2:10" x14ac:dyDescent="0.35">
      <c r="C1" t="s">
        <v>0</v>
      </c>
      <c r="G1" t="s">
        <v>8</v>
      </c>
      <c r="J1" t="s">
        <v>9</v>
      </c>
    </row>
    <row r="2" spans="2:10" x14ac:dyDescent="0.35">
      <c r="G2" t="s">
        <v>7</v>
      </c>
      <c r="J2" t="s">
        <v>6</v>
      </c>
    </row>
    <row r="3" spans="2:10" x14ac:dyDescent="0.35">
      <c r="B3" t="s">
        <v>1</v>
      </c>
      <c r="C3" t="s">
        <v>2</v>
      </c>
      <c r="D3" t="s">
        <v>4</v>
      </c>
      <c r="E3" t="s">
        <v>3</v>
      </c>
      <c r="F3" t="s">
        <v>5</v>
      </c>
    </row>
    <row r="4" spans="2:10" x14ac:dyDescent="0.35">
      <c r="B4">
        <v>0</v>
      </c>
      <c r="C4">
        <f>3*B4^5+B4^2-9</f>
        <v>-9</v>
      </c>
      <c r="D4">
        <f>15*(B4^4)+2*B4</f>
        <v>0</v>
      </c>
      <c r="E4">
        <v>1</v>
      </c>
    </row>
    <row r="5" spans="2:10" x14ac:dyDescent="0.35">
      <c r="B5">
        <f>B4+0.3</f>
        <v>0.3</v>
      </c>
      <c r="C5">
        <f t="shared" ref="C5:C9" si="0">3*B5^5+B5^2-9</f>
        <v>-8.9027100000000008</v>
      </c>
      <c r="D5">
        <f t="shared" ref="D5:D9" si="1">15*(B5^4)+2*B5</f>
        <v>0.72150000000000003</v>
      </c>
      <c r="E5">
        <f>E4+0.3*D5</f>
        <v>1.21645</v>
      </c>
      <c r="F5">
        <f>(C5-E5)/(C5*100)</f>
        <v>1.1366381697258475E-2</v>
      </c>
    </row>
    <row r="6" spans="2:10" x14ac:dyDescent="0.35">
      <c r="B6">
        <f t="shared" ref="B6:B9" si="2">B5+0.3</f>
        <v>0.6</v>
      </c>
      <c r="C6">
        <f t="shared" si="0"/>
        <v>-8.40672</v>
      </c>
      <c r="D6">
        <f t="shared" si="1"/>
        <v>3.1440000000000001</v>
      </c>
      <c r="E6">
        <f t="shared" ref="E6:E9" si="3">E5+0.3*D6</f>
        <v>2.1596500000000001</v>
      </c>
      <c r="F6">
        <f t="shared" ref="F6:F9" si="4">(C6-E6)/(C6*100)</f>
        <v>1.2568956739370408E-2</v>
      </c>
    </row>
    <row r="7" spans="2:10" x14ac:dyDescent="0.35">
      <c r="B7">
        <f t="shared" si="2"/>
        <v>0.89999999999999991</v>
      </c>
      <c r="C7">
        <f t="shared" si="0"/>
        <v>-6.4185300000000014</v>
      </c>
      <c r="D7">
        <f t="shared" si="1"/>
        <v>11.641499999999994</v>
      </c>
      <c r="E7">
        <f t="shared" si="3"/>
        <v>5.6520999999999981</v>
      </c>
      <c r="F7">
        <f t="shared" si="4"/>
        <v>1.8805910387580952E-2</v>
      </c>
    </row>
    <row r="8" spans="2:10" x14ac:dyDescent="0.35">
      <c r="B8">
        <f t="shared" si="2"/>
        <v>1.2</v>
      </c>
      <c r="C8">
        <f t="shared" si="0"/>
        <v>-9.5040000000000902E-2</v>
      </c>
      <c r="D8">
        <f t="shared" si="1"/>
        <v>33.503999999999998</v>
      </c>
      <c r="E8">
        <f t="shared" si="3"/>
        <v>15.703299999999999</v>
      </c>
      <c r="F8">
        <f t="shared" si="4"/>
        <v>1.6622832491582333</v>
      </c>
    </row>
    <row r="9" spans="2:10" x14ac:dyDescent="0.35">
      <c r="B9">
        <f t="shared" si="2"/>
        <v>1.5</v>
      </c>
      <c r="C9">
        <f t="shared" si="0"/>
        <v>16.03125</v>
      </c>
      <c r="D9">
        <f t="shared" si="1"/>
        <v>78.9375</v>
      </c>
      <c r="E9">
        <f t="shared" si="3"/>
        <v>39.384549999999997</v>
      </c>
      <c r="F9">
        <f t="shared" si="4"/>
        <v>-1.4567360623781675E-2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2022-07-02T10:10:23Z</dcterms:created>
  <dcterms:modified xsi:type="dcterms:W3CDTF">2022-07-02T11:51:56Z</dcterms:modified>
</cp:coreProperties>
</file>