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eri Kuliah\Semester 4\Metode Numerik\Metode Numerik Youtube\"/>
    </mc:Choice>
  </mc:AlternateContent>
  <xr:revisionPtr revIDLastSave="0" documentId="13_ncr:1_{E26732B6-5A0B-46BD-B7F9-FDAAF9A8C0D8}" xr6:coauthVersionLast="45" xr6:coauthVersionMax="45" xr10:uidLastSave="{00000000-0000-0000-0000-000000000000}"/>
  <bookViews>
    <workbookView xWindow="-110" yWindow="-110" windowWidth="19420" windowHeight="10420" xr2:uid="{3CD3BFC6-88D7-4510-A6E2-C096E8C59E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" i="1" l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7" i="1"/>
  <c r="G7" i="1" l="1"/>
  <c r="F7" i="1"/>
  <c r="E7" i="1" s="1"/>
  <c r="H7" i="1" s="1"/>
  <c r="I7" i="1" s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C8" i="1" l="1"/>
  <c r="D8" i="1"/>
  <c r="G8" i="1" s="1"/>
  <c r="F8" i="1" l="1"/>
  <c r="E8" i="1" s="1"/>
  <c r="H8" i="1" s="1"/>
  <c r="I8" i="1" s="1"/>
  <c r="C9" i="1" l="1"/>
  <c r="F9" i="1" s="1"/>
  <c r="D9" i="1"/>
  <c r="G9" i="1" s="1"/>
  <c r="E9" i="1" l="1"/>
  <c r="H9" i="1" s="1"/>
  <c r="I9" i="1" s="1"/>
  <c r="C10" i="1" s="1"/>
  <c r="F10" i="1" s="1"/>
  <c r="D10" i="1" l="1"/>
  <c r="G10" i="1" s="1"/>
  <c r="E10" i="1"/>
  <c r="H10" i="1" s="1"/>
  <c r="I10" i="1" s="1"/>
  <c r="C11" i="1" l="1"/>
  <c r="D11" i="1"/>
  <c r="G11" i="1" s="1"/>
  <c r="F11" i="1" l="1"/>
  <c r="E11" i="1" s="1"/>
  <c r="H11" i="1" s="1"/>
  <c r="I11" i="1" s="1"/>
  <c r="C12" i="1" l="1"/>
  <c r="D12" i="1"/>
  <c r="G12" i="1" s="1"/>
  <c r="F12" i="1" l="1"/>
  <c r="E12" i="1" s="1"/>
  <c r="H12" i="1" s="1"/>
  <c r="I12" i="1" s="1"/>
  <c r="D13" i="1" l="1"/>
  <c r="G13" i="1" s="1"/>
  <c r="C13" i="1"/>
  <c r="F13" i="1" l="1"/>
  <c r="E13" i="1" s="1"/>
  <c r="H13" i="1" s="1"/>
  <c r="I13" i="1" s="1"/>
  <c r="C14" i="1" l="1"/>
  <c r="D14" i="1"/>
  <c r="G14" i="1" s="1"/>
  <c r="F14" i="1" l="1"/>
  <c r="E14" i="1" s="1"/>
  <c r="H14" i="1" s="1"/>
  <c r="I14" i="1" s="1"/>
  <c r="D15" i="1" l="1"/>
  <c r="G15" i="1" s="1"/>
  <c r="C15" i="1"/>
  <c r="F15" i="1" l="1"/>
  <c r="E15" i="1"/>
  <c r="H15" i="1" s="1"/>
  <c r="I15" i="1" s="1"/>
  <c r="C16" i="1" l="1"/>
  <c r="F16" i="1" s="1"/>
  <c r="D16" i="1"/>
  <c r="G16" i="1" s="1"/>
  <c r="E16" i="1" l="1"/>
  <c r="H16" i="1" s="1"/>
  <c r="I16" i="1" s="1"/>
  <c r="D17" i="1" l="1"/>
  <c r="G17" i="1" s="1"/>
  <c r="C17" i="1"/>
  <c r="F17" i="1" s="1"/>
  <c r="E17" i="1" s="1"/>
  <c r="H17" i="1" s="1"/>
  <c r="I17" i="1" s="1"/>
  <c r="C18" i="1" l="1"/>
  <c r="D18" i="1"/>
  <c r="G18" i="1" s="1"/>
  <c r="F18" i="1" l="1"/>
  <c r="E18" i="1" s="1"/>
  <c r="H18" i="1" s="1"/>
  <c r="I18" i="1" s="1"/>
  <c r="D19" i="1" l="1"/>
  <c r="G19" i="1" s="1"/>
  <c r="C19" i="1"/>
  <c r="F19" i="1" s="1"/>
  <c r="E19" i="1" s="1"/>
  <c r="H19" i="1" s="1"/>
  <c r="I19" i="1" s="1"/>
  <c r="C20" i="1" s="1"/>
  <c r="D20" i="1" l="1"/>
  <c r="G20" i="1" s="1"/>
  <c r="F20" i="1"/>
  <c r="E20" i="1" l="1"/>
  <c r="H20" i="1" s="1"/>
  <c r="I20" i="1" s="1"/>
  <c r="C21" i="1" s="1"/>
  <c r="D21" i="1" l="1"/>
  <c r="G21" i="1" s="1"/>
  <c r="F21" i="1"/>
  <c r="E21" i="1" s="1"/>
  <c r="H21" i="1" s="1"/>
  <c r="I21" i="1" s="1"/>
  <c r="C22" i="1" l="1"/>
  <c r="D22" i="1"/>
  <c r="G22" i="1" s="1"/>
  <c r="F22" i="1" l="1"/>
  <c r="E22" i="1" s="1"/>
  <c r="H22" i="1" s="1"/>
  <c r="I22" i="1" s="1"/>
  <c r="C23" i="1" l="1"/>
  <c r="D23" i="1"/>
  <c r="G23" i="1" s="1"/>
  <c r="F23" i="1" l="1"/>
  <c r="E23" i="1" s="1"/>
  <c r="H23" i="1" s="1"/>
  <c r="I23" i="1" s="1"/>
  <c r="C24" i="1" l="1"/>
  <c r="D24" i="1"/>
  <c r="G24" i="1" s="1"/>
  <c r="F24" i="1" l="1"/>
  <c r="E24" i="1" s="1"/>
  <c r="H24" i="1" s="1"/>
  <c r="I24" i="1" s="1"/>
  <c r="C25" i="1" l="1"/>
  <c r="D25" i="1"/>
  <c r="G25" i="1" s="1"/>
  <c r="F25" i="1" l="1"/>
  <c r="E25" i="1" s="1"/>
  <c r="H25" i="1" s="1"/>
  <c r="I25" i="1" s="1"/>
  <c r="D26" i="1" l="1"/>
  <c r="G26" i="1" s="1"/>
  <c r="C26" i="1"/>
  <c r="F26" i="1" l="1"/>
  <c r="E26" i="1" l="1"/>
  <c r="H26" i="1" s="1"/>
  <c r="I26" i="1" s="1"/>
  <c r="C27" i="1" l="1"/>
  <c r="F27" i="1" s="1"/>
  <c r="D27" i="1"/>
  <c r="G27" i="1" s="1"/>
  <c r="E27" i="1" l="1"/>
  <c r="H27" i="1" s="1"/>
  <c r="I27" i="1" s="1"/>
  <c r="C28" i="1" l="1"/>
  <c r="D28" i="1"/>
  <c r="G28" i="1" s="1"/>
  <c r="F28" i="1" l="1"/>
  <c r="E28" i="1" s="1"/>
  <c r="H28" i="1" s="1"/>
  <c r="I28" i="1" s="1"/>
</calcChain>
</file>

<file path=xl/sharedStrings.xml><?xml version="1.0" encoding="utf-8"?>
<sst xmlns="http://schemas.openxmlformats.org/spreadsheetml/2006/main" count="16" uniqueCount="15">
  <si>
    <t>AKAR-AKAR PERSAAMAAN KUADRAT DENGAN REGULAFALSI METHODE</t>
  </si>
  <si>
    <r>
      <t>f(x)=x</t>
    </r>
    <r>
      <rPr>
        <sz val="11"/>
        <color theme="1"/>
        <rFont val="Calibri"/>
        <family val="2"/>
      </rPr>
      <t>³+x²-3x-3</t>
    </r>
  </si>
  <si>
    <t>ɛ=0,0001</t>
  </si>
  <si>
    <r>
      <t>x</t>
    </r>
    <r>
      <rPr>
        <sz val="8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=x</t>
    </r>
    <r>
      <rPr>
        <sz val="8"/>
        <color theme="1"/>
        <rFont val="Calibri"/>
        <family val="2"/>
        <scheme val="minor"/>
      </rPr>
      <t>n-</t>
    </r>
    <r>
      <rPr>
        <sz val="11"/>
        <color theme="1"/>
        <rFont val="Calibri"/>
        <family val="2"/>
        <scheme val="minor"/>
      </rPr>
      <t>f(x</t>
    </r>
    <r>
      <rPr>
        <sz val="8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)</t>
    </r>
  </si>
  <si>
    <r>
      <t>x</t>
    </r>
    <r>
      <rPr>
        <sz val="8"/>
        <color theme="1"/>
        <rFont val="Calibri"/>
        <family val="2"/>
        <scheme val="minor"/>
      </rPr>
      <t>n+1</t>
    </r>
    <r>
      <rPr>
        <sz val="11"/>
        <color theme="1"/>
        <rFont val="Calibri"/>
        <family val="2"/>
        <scheme val="minor"/>
      </rPr>
      <t xml:space="preserve"> - x</t>
    </r>
    <r>
      <rPr>
        <sz val="9"/>
        <color theme="1"/>
        <rFont val="Calibri"/>
        <family val="2"/>
        <scheme val="minor"/>
      </rPr>
      <t>n</t>
    </r>
  </si>
  <si>
    <r>
      <t>x(x</t>
    </r>
    <r>
      <rPr>
        <sz val="8"/>
        <color theme="1"/>
        <rFont val="Calibri"/>
        <family val="2"/>
        <scheme val="minor"/>
      </rPr>
      <t>n+1</t>
    </r>
    <r>
      <rPr>
        <sz val="11"/>
        <color theme="1"/>
        <rFont val="Calibri"/>
        <family val="2"/>
        <scheme val="minor"/>
      </rPr>
      <t>) - f(x</t>
    </r>
    <r>
      <rPr>
        <sz val="8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)</t>
    </r>
  </si>
  <si>
    <t>Iterasi</t>
  </si>
  <si>
    <r>
      <t>x</t>
    </r>
    <r>
      <rPr>
        <b/>
        <sz val="9"/>
        <color theme="1"/>
        <rFont val="Times New Roman"/>
        <family val="1"/>
      </rPr>
      <t>n</t>
    </r>
  </si>
  <si>
    <r>
      <t>x</t>
    </r>
    <r>
      <rPr>
        <b/>
        <sz val="9"/>
        <color theme="1"/>
        <rFont val="Times New Roman"/>
        <family val="1"/>
      </rPr>
      <t>n+1</t>
    </r>
  </si>
  <si>
    <r>
      <t>x</t>
    </r>
    <r>
      <rPr>
        <b/>
        <sz val="9"/>
        <color theme="1"/>
        <rFont val="Times New Roman"/>
        <family val="1"/>
      </rPr>
      <t>t</t>
    </r>
  </si>
  <si>
    <r>
      <t>f(x</t>
    </r>
    <r>
      <rPr>
        <b/>
        <sz val="9"/>
        <color theme="1"/>
        <rFont val="Times New Roman"/>
        <family val="1"/>
      </rPr>
      <t>n</t>
    </r>
    <r>
      <rPr>
        <b/>
        <sz val="11"/>
        <color theme="1"/>
        <rFont val="Times New Roman"/>
        <family val="1"/>
      </rPr>
      <t>)</t>
    </r>
  </si>
  <si>
    <r>
      <t>f(x</t>
    </r>
    <r>
      <rPr>
        <b/>
        <sz val="9"/>
        <color theme="1"/>
        <rFont val="Times New Roman"/>
        <family val="1"/>
      </rPr>
      <t>n+1</t>
    </r>
    <r>
      <rPr>
        <b/>
        <sz val="11"/>
        <color theme="1"/>
        <rFont val="Times New Roman"/>
        <family val="1"/>
      </rPr>
      <t>)</t>
    </r>
  </si>
  <si>
    <r>
      <t>f(x</t>
    </r>
    <r>
      <rPr>
        <b/>
        <sz val="9"/>
        <color theme="1"/>
        <rFont val="Times New Roman"/>
        <family val="1"/>
      </rPr>
      <t>t</t>
    </r>
    <r>
      <rPr>
        <b/>
        <sz val="11"/>
        <color theme="1"/>
        <rFont val="Times New Roman"/>
        <family val="1"/>
      </rPr>
      <t>)</t>
    </r>
  </si>
  <si>
    <r>
      <t>f(x</t>
    </r>
    <r>
      <rPr>
        <b/>
        <sz val="9"/>
        <color theme="1"/>
        <rFont val="Times New Roman"/>
        <family val="1"/>
      </rPr>
      <t>t</t>
    </r>
    <r>
      <rPr>
        <b/>
        <sz val="11"/>
        <color theme="1"/>
        <rFont val="Times New Roman"/>
        <family val="1"/>
      </rPr>
      <t>).f(x</t>
    </r>
    <r>
      <rPr>
        <b/>
        <sz val="9"/>
        <color theme="1"/>
        <rFont val="Times New Roman"/>
        <family val="1"/>
      </rPr>
      <t>n</t>
    </r>
    <r>
      <rPr>
        <b/>
        <sz val="11"/>
        <color theme="1"/>
        <rFont val="Times New Roman"/>
        <family val="1"/>
      </rPr>
      <t>)</t>
    </r>
  </si>
  <si>
    <t>Pengujian Nilai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</si>
</sst>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6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336551</xdr:colOff>
      <xdr:row>8</xdr:row>
      <xdr:rowOff>53975</xdr:rowOff>
    </xdr:from>
    <xdr:ext cx="222249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D4E048A-33C2-4EA6-AE9C-2CA828ADDC19}"/>
            </a:ext>
          </a:extLst>
        </xdr:cNvPr>
        <xdr:cNvSpPr txBox="1"/>
      </xdr:nvSpPr>
      <xdr:spPr>
        <a:xfrm>
          <a:off x="5213351" y="1527175"/>
          <a:ext cx="222249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ID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4ED38-10A9-4930-85CA-AFFEC5A5F0DC}">
  <dimension ref="A1:K30"/>
  <sheetViews>
    <sheetView tabSelected="1" workbookViewId="0">
      <selection activeCell="H5" sqref="H5"/>
    </sheetView>
  </sheetViews>
  <sheetFormatPr defaultRowHeight="14.5" x14ac:dyDescent="0.35"/>
  <cols>
    <col min="3" max="3" width="12" customWidth="1"/>
    <col min="4" max="4" width="11.453125" customWidth="1"/>
    <col min="5" max="5" width="12.36328125" customWidth="1"/>
    <col min="6" max="6" width="11.6328125" customWidth="1"/>
    <col min="7" max="7" width="13.36328125" customWidth="1"/>
    <col min="8" max="8" width="12.90625" customWidth="1"/>
    <col min="9" max="10" width="16.36328125" customWidth="1"/>
    <col min="11" max="11" width="14" customWidth="1"/>
  </cols>
  <sheetData>
    <row r="1" spans="1:11" x14ac:dyDescent="0.35">
      <c r="C1" s="1" t="s">
        <v>0</v>
      </c>
    </row>
    <row r="3" spans="1:11" x14ac:dyDescent="0.35">
      <c r="A3" t="s">
        <v>1</v>
      </c>
      <c r="D3" s="8" t="s">
        <v>3</v>
      </c>
      <c r="E3" s="2" t="s">
        <v>4</v>
      </c>
      <c r="F3" s="7"/>
    </row>
    <row r="4" spans="1:11" x14ac:dyDescent="0.35">
      <c r="A4" t="s">
        <v>2</v>
      </c>
      <c r="D4" s="8"/>
      <c r="E4" s="3" t="s">
        <v>5</v>
      </c>
      <c r="F4" s="7"/>
    </row>
    <row r="6" spans="1:11" x14ac:dyDescent="0.35"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</row>
    <row r="7" spans="1:11" x14ac:dyDescent="0.35">
      <c r="B7" s="5">
        <v>1</v>
      </c>
      <c r="C7" s="5">
        <v>1</v>
      </c>
      <c r="D7" s="5">
        <v>2</v>
      </c>
      <c r="E7" s="5">
        <f>C7-F7*(D7-C7)/(G7-F7)</f>
        <v>1.5714285714285714</v>
      </c>
      <c r="F7" s="5">
        <f t="shared" ref="F7:H8" si="0">C7^3+C7^2-3*C7-3</f>
        <v>-4</v>
      </c>
      <c r="G7" s="5">
        <f t="shared" si="0"/>
        <v>3</v>
      </c>
      <c r="H7" s="5">
        <f t="shared" si="0"/>
        <v>-1.3644314868804672</v>
      </c>
      <c r="I7" s="5">
        <f>H7*F7</f>
        <v>5.4577259475218689</v>
      </c>
      <c r="J7" s="5" t="b">
        <f>I7&lt;0.0001</f>
        <v>0</v>
      </c>
    </row>
    <row r="8" spans="1:11" x14ac:dyDescent="0.35">
      <c r="B8" s="5">
        <f>B7+1</f>
        <v>2</v>
      </c>
      <c r="C8" s="5">
        <f>IF(I7&gt;0,E7,C7)</f>
        <v>1.5714285714285714</v>
      </c>
      <c r="D8" s="5">
        <f>IF(I7&lt;0,E7,D7)</f>
        <v>2</v>
      </c>
      <c r="E8" s="5">
        <f>C8-F8*(D8-C8)/(G8-F8)</f>
        <v>1.7054108216432866</v>
      </c>
      <c r="F8" s="5">
        <f t="shared" si="0"/>
        <v>-1.3644314868804672</v>
      </c>
      <c r="G8" s="5">
        <f t="shared" si="0"/>
        <v>3</v>
      </c>
      <c r="H8" s="5">
        <f t="shared" si="0"/>
        <v>-0.24774509963859614</v>
      </c>
      <c r="I8" s="5">
        <f>H8*F8</f>
        <v>0.33803121466723923</v>
      </c>
      <c r="J8" s="5" t="b">
        <f t="shared" ref="J8:J30" si="1">I8&lt;0.0001</f>
        <v>0</v>
      </c>
    </row>
    <row r="9" spans="1:11" x14ac:dyDescent="0.35">
      <c r="B9" s="5">
        <f t="shared" ref="B9:B26" si="2">B8+1</f>
        <v>3</v>
      </c>
      <c r="C9" s="5">
        <f t="shared" ref="C9:C26" si="3">IF(I8&gt;0,E8,C8)</f>
        <v>1.7054108216432866</v>
      </c>
      <c r="D9" s="5">
        <f t="shared" ref="D9:D26" si="4">IF(I8&lt;0,E8,D8)</f>
        <v>2</v>
      </c>
      <c r="E9" s="5">
        <f t="shared" ref="E9:E25" si="5">C9-F9*(D9-C9)/(G9-F9)</f>
        <v>1.7278827284910738</v>
      </c>
      <c r="F9" s="5">
        <f t="shared" ref="F9:F26" si="6">C9^3+C9^2-3*C9-3</f>
        <v>-0.24774509963859614</v>
      </c>
      <c r="G9" s="5">
        <f t="shared" ref="G9:G26" si="7">D9^3+D9^2-3*D9-3</f>
        <v>3</v>
      </c>
      <c r="H9" s="5">
        <f t="shared" ref="H9:H26" si="8">E9^3+E9^2-3*E9-3</f>
        <v>-3.9339551311489807E-2</v>
      </c>
      <c r="I9" s="5">
        <f t="shared" ref="I9:I26" si="9">H9*F9</f>
        <v>9.746181059402708E-3</v>
      </c>
      <c r="J9" s="5" t="b">
        <f t="shared" si="1"/>
        <v>0</v>
      </c>
    </row>
    <row r="10" spans="1:11" x14ac:dyDescent="0.35">
      <c r="B10" s="5">
        <f t="shared" si="2"/>
        <v>4</v>
      </c>
      <c r="C10" s="5">
        <f t="shared" si="3"/>
        <v>1.7278827284910738</v>
      </c>
      <c r="D10" s="5">
        <f t="shared" si="4"/>
        <v>2</v>
      </c>
      <c r="E10" s="5">
        <f t="shared" si="5"/>
        <v>1.7314048658451082</v>
      </c>
      <c r="F10" s="5">
        <f t="shared" si="6"/>
        <v>-3.9339551311489807E-2</v>
      </c>
      <c r="G10" s="5">
        <f t="shared" si="7"/>
        <v>3</v>
      </c>
      <c r="H10" s="5">
        <f t="shared" si="8"/>
        <v>-6.1106730936817399E-3</v>
      </c>
      <c r="I10" s="5">
        <f t="shared" si="9"/>
        <v>2.4039113771663297E-4</v>
      </c>
      <c r="J10" s="5" t="b">
        <f t="shared" si="1"/>
        <v>0</v>
      </c>
    </row>
    <row r="11" spans="1:11" x14ac:dyDescent="0.35">
      <c r="B11" s="5">
        <f t="shared" si="2"/>
        <v>5</v>
      </c>
      <c r="C11" s="5">
        <f t="shared" si="3"/>
        <v>1.7314048658451082</v>
      </c>
      <c r="D11" s="5">
        <f t="shared" si="4"/>
        <v>2</v>
      </c>
      <c r="E11" s="5">
        <f t="shared" si="5"/>
        <v>1.7319508527490717</v>
      </c>
      <c r="F11" s="5">
        <f t="shared" si="6"/>
        <v>-6.1106730936817399E-3</v>
      </c>
      <c r="G11" s="5">
        <f t="shared" si="7"/>
        <v>3</v>
      </c>
      <c r="H11" s="5">
        <f t="shared" si="8"/>
        <v>-9.4592066701348898E-4</v>
      </c>
      <c r="I11" s="5">
        <f t="shared" si="9"/>
        <v>5.7802119686768119E-6</v>
      </c>
      <c r="J11" s="5" t="b">
        <f t="shared" si="1"/>
        <v>1</v>
      </c>
      <c r="K11" t="s">
        <v>2</v>
      </c>
    </row>
    <row r="12" spans="1:11" x14ac:dyDescent="0.35">
      <c r="B12" s="5">
        <f t="shared" si="2"/>
        <v>6</v>
      </c>
      <c r="C12" s="5">
        <f t="shared" si="3"/>
        <v>1.7319508527490717</v>
      </c>
      <c r="D12" s="5">
        <f t="shared" si="4"/>
        <v>2</v>
      </c>
      <c r="E12" s="5">
        <f t="shared" si="5"/>
        <v>1.7320353438511651</v>
      </c>
      <c r="F12" s="5">
        <f t="shared" si="6"/>
        <v>-9.4592066701348898E-4</v>
      </c>
      <c r="G12" s="5">
        <f t="shared" si="7"/>
        <v>3</v>
      </c>
      <c r="H12" s="5">
        <f t="shared" si="8"/>
        <v>-1.4634871411534078E-4</v>
      </c>
      <c r="I12" s="5">
        <f t="shared" si="9"/>
        <v>1.3843427327254957E-7</v>
      </c>
      <c r="J12" s="5" t="b">
        <f t="shared" si="1"/>
        <v>1</v>
      </c>
    </row>
    <row r="13" spans="1:11" x14ac:dyDescent="0.35">
      <c r="B13" s="5">
        <f t="shared" si="2"/>
        <v>7</v>
      </c>
      <c r="C13" s="5">
        <f t="shared" si="3"/>
        <v>1.7320353438511651</v>
      </c>
      <c r="D13" s="5">
        <f t="shared" si="4"/>
        <v>2</v>
      </c>
      <c r="E13" s="5">
        <f t="shared" si="5"/>
        <v>1.7320484153077866</v>
      </c>
      <c r="F13" s="5">
        <f t="shared" si="6"/>
        <v>-1.4634871411534078E-4</v>
      </c>
      <c r="G13" s="5">
        <f t="shared" si="7"/>
        <v>3</v>
      </c>
      <c r="H13" s="5">
        <f t="shared" si="8"/>
        <v>-2.2640566591292099E-5</v>
      </c>
      <c r="I13" s="5">
        <f t="shared" si="9"/>
        <v>3.3134178074783431E-9</v>
      </c>
      <c r="J13" s="5" t="b">
        <f t="shared" si="1"/>
        <v>1</v>
      </c>
    </row>
    <row r="14" spans="1:11" x14ac:dyDescent="0.35">
      <c r="B14" s="5">
        <f t="shared" si="2"/>
        <v>8</v>
      </c>
      <c r="C14" s="5">
        <f t="shared" si="3"/>
        <v>1.7320484153077866</v>
      </c>
      <c r="D14" s="5">
        <f t="shared" si="4"/>
        <v>2</v>
      </c>
      <c r="E14" s="5">
        <f t="shared" si="5"/>
        <v>1.7320504374844243</v>
      </c>
      <c r="F14" s="5">
        <f t="shared" si="6"/>
        <v>-2.2640566591292099E-5</v>
      </c>
      <c r="G14" s="5">
        <f t="shared" si="7"/>
        <v>3</v>
      </c>
      <c r="H14" s="5">
        <f t="shared" si="8"/>
        <v>-3.5025160194379623E-6</v>
      </c>
      <c r="I14" s="5">
        <f t="shared" si="9"/>
        <v>7.9298947175152515E-11</v>
      </c>
      <c r="J14" s="5" t="b">
        <f t="shared" si="1"/>
        <v>1</v>
      </c>
    </row>
    <row r="15" spans="1:11" x14ac:dyDescent="0.35">
      <c r="B15" s="5">
        <f t="shared" si="2"/>
        <v>9</v>
      </c>
      <c r="C15" s="5">
        <f t="shared" si="3"/>
        <v>1.7320504374844243</v>
      </c>
      <c r="D15" s="5">
        <f t="shared" si="4"/>
        <v>2</v>
      </c>
      <c r="E15" s="5">
        <f t="shared" si="5"/>
        <v>1.732050750316604</v>
      </c>
      <c r="F15" s="5">
        <f t="shared" si="6"/>
        <v>-3.5025160194379623E-6</v>
      </c>
      <c r="G15" s="5">
        <f t="shared" si="7"/>
        <v>3</v>
      </c>
      <c r="H15" s="5">
        <f t="shared" si="8"/>
        <v>-5.4184131137446911E-7</v>
      </c>
      <c r="I15" s="5">
        <f t="shared" si="9"/>
        <v>1.8978078730823509E-12</v>
      </c>
      <c r="J15" s="5" t="b">
        <f t="shared" si="1"/>
        <v>1</v>
      </c>
    </row>
    <row r="16" spans="1:11" x14ac:dyDescent="0.35">
      <c r="B16" s="5">
        <f t="shared" si="2"/>
        <v>10</v>
      </c>
      <c r="C16" s="5">
        <f t="shared" si="3"/>
        <v>1.732050750316604</v>
      </c>
      <c r="D16" s="5">
        <f t="shared" si="4"/>
        <v>2</v>
      </c>
      <c r="E16" s="5">
        <f t="shared" si="5"/>
        <v>1.7320507987119196</v>
      </c>
      <c r="F16" s="5">
        <f t="shared" si="6"/>
        <v>-5.4184131137446911E-7</v>
      </c>
      <c r="G16" s="5">
        <f t="shared" si="7"/>
        <v>3</v>
      </c>
      <c r="H16" s="5">
        <f t="shared" si="8"/>
        <v>-8.3823145757833117E-8</v>
      </c>
      <c r="I16" s="5">
        <f t="shared" si="9"/>
        <v>4.5418843220957564E-14</v>
      </c>
      <c r="J16" s="5" t="b">
        <f t="shared" si="1"/>
        <v>1</v>
      </c>
    </row>
    <row r="17" spans="2:10" x14ac:dyDescent="0.35">
      <c r="B17" s="5">
        <f t="shared" si="2"/>
        <v>11</v>
      </c>
      <c r="C17" s="5">
        <f t="shared" si="3"/>
        <v>1.7320507987119196</v>
      </c>
      <c r="D17" s="5">
        <f t="shared" si="4"/>
        <v>2</v>
      </c>
      <c r="E17" s="5">
        <f t="shared" si="5"/>
        <v>1.732050806198701</v>
      </c>
      <c r="F17" s="5">
        <f t="shared" si="6"/>
        <v>-8.3823145757833117E-8</v>
      </c>
      <c r="G17" s="5">
        <f t="shared" si="7"/>
        <v>3</v>
      </c>
      <c r="H17" s="5">
        <f t="shared" si="8"/>
        <v>-1.2967486640036441E-8</v>
      </c>
      <c r="I17" s="5">
        <f t="shared" si="9"/>
        <v>1.0869755227405282E-15</v>
      </c>
      <c r="J17" s="5" t="b">
        <f t="shared" si="1"/>
        <v>1</v>
      </c>
    </row>
    <row r="18" spans="2:10" x14ac:dyDescent="0.35">
      <c r="B18" s="5">
        <f t="shared" si="2"/>
        <v>12</v>
      </c>
      <c r="C18" s="5">
        <f t="shared" si="3"/>
        <v>1.732050806198701</v>
      </c>
      <c r="D18" s="5">
        <f t="shared" si="4"/>
        <v>2</v>
      </c>
      <c r="E18" s="5">
        <f t="shared" si="5"/>
        <v>1.7320508073569101</v>
      </c>
      <c r="F18" s="5">
        <f t="shared" si="6"/>
        <v>-1.2967486640036441E-8</v>
      </c>
      <c r="G18" s="5">
        <f t="shared" si="7"/>
        <v>3</v>
      </c>
      <c r="H18" s="5">
        <f t="shared" si="8"/>
        <v>-2.0060788585851697E-9</v>
      </c>
      <c r="I18" s="5">
        <f t="shared" si="9"/>
        <v>2.601380079756274E-17</v>
      </c>
      <c r="J18" s="5" t="b">
        <f t="shared" si="1"/>
        <v>1</v>
      </c>
    </row>
    <row r="19" spans="2:10" x14ac:dyDescent="0.35">
      <c r="B19" s="5">
        <f t="shared" si="2"/>
        <v>13</v>
      </c>
      <c r="C19" s="5">
        <f t="shared" si="3"/>
        <v>1.7320508073569101</v>
      </c>
      <c r="D19" s="5">
        <f t="shared" si="4"/>
        <v>2</v>
      </c>
      <c r="E19" s="5">
        <f t="shared" si="5"/>
        <v>1.7320508075360859</v>
      </c>
      <c r="F19" s="5">
        <f t="shared" si="6"/>
        <v>-2.0060788585851697E-9</v>
      </c>
      <c r="G19" s="5">
        <f t="shared" si="7"/>
        <v>3</v>
      </c>
      <c r="H19" s="5">
        <f t="shared" si="8"/>
        <v>-3.1034019798426016E-10</v>
      </c>
      <c r="I19" s="5">
        <f t="shared" si="9"/>
        <v>6.2256691014536019E-19</v>
      </c>
      <c r="J19" s="5" t="b">
        <f t="shared" si="1"/>
        <v>1</v>
      </c>
    </row>
    <row r="20" spans="2:10" x14ac:dyDescent="0.35">
      <c r="B20" s="5">
        <f t="shared" si="2"/>
        <v>14</v>
      </c>
      <c r="C20" s="5">
        <f t="shared" si="3"/>
        <v>1.7320508075360859</v>
      </c>
      <c r="D20" s="5">
        <f t="shared" si="4"/>
        <v>2</v>
      </c>
      <c r="E20" s="5">
        <f t="shared" si="5"/>
        <v>1.7320508075638044</v>
      </c>
      <c r="F20" s="5">
        <f t="shared" si="6"/>
        <v>-3.1034019798426016E-10</v>
      </c>
      <c r="G20" s="5">
        <f t="shared" si="7"/>
        <v>3</v>
      </c>
      <c r="H20" s="5">
        <f t="shared" si="8"/>
        <v>-4.8010484476890269E-11</v>
      </c>
      <c r="I20" s="5">
        <f t="shared" si="9"/>
        <v>1.4899583257878375E-20</v>
      </c>
      <c r="J20" s="5" t="b">
        <f t="shared" si="1"/>
        <v>1</v>
      </c>
    </row>
    <row r="21" spans="2:10" x14ac:dyDescent="0.35">
      <c r="B21" s="5">
        <f t="shared" si="2"/>
        <v>15</v>
      </c>
      <c r="C21" s="5">
        <f t="shared" si="3"/>
        <v>1.7320508075638044</v>
      </c>
      <c r="D21" s="5">
        <f t="shared" si="4"/>
        <v>2</v>
      </c>
      <c r="E21" s="5">
        <f t="shared" si="5"/>
        <v>1.7320508075680925</v>
      </c>
      <c r="F21" s="5">
        <f t="shared" si="6"/>
        <v>-4.8010484476890269E-11</v>
      </c>
      <c r="G21" s="5">
        <f t="shared" si="7"/>
        <v>3</v>
      </c>
      <c r="H21" s="5">
        <f t="shared" si="8"/>
        <v>-7.4278361239521473E-12</v>
      </c>
      <c r="I21" s="5">
        <f t="shared" si="9"/>
        <v>3.5661401092588936E-22</v>
      </c>
      <c r="J21" s="5" t="b">
        <f t="shared" si="1"/>
        <v>1</v>
      </c>
    </row>
    <row r="22" spans="2:10" x14ac:dyDescent="0.35">
      <c r="B22" s="5">
        <f t="shared" si="2"/>
        <v>16</v>
      </c>
      <c r="C22" s="5">
        <f t="shared" si="3"/>
        <v>1.7320508075680925</v>
      </c>
      <c r="D22" s="5">
        <f t="shared" si="4"/>
        <v>2</v>
      </c>
      <c r="E22" s="5">
        <f t="shared" si="5"/>
        <v>1.732050807568756</v>
      </c>
      <c r="F22" s="5">
        <f t="shared" si="6"/>
        <v>-7.4278361239521473E-12</v>
      </c>
      <c r="G22" s="5">
        <f t="shared" si="7"/>
        <v>3</v>
      </c>
      <c r="H22" s="5">
        <f t="shared" si="8"/>
        <v>-1.1475265182525618E-12</v>
      </c>
      <c r="I22" s="5">
        <f t="shared" si="9"/>
        <v>8.5236389254694117E-24</v>
      </c>
      <c r="J22" s="5" t="b">
        <f t="shared" si="1"/>
        <v>1</v>
      </c>
    </row>
    <row r="23" spans="2:10" x14ac:dyDescent="0.35">
      <c r="B23" s="5">
        <f t="shared" si="2"/>
        <v>17</v>
      </c>
      <c r="C23" s="5">
        <f t="shared" si="3"/>
        <v>1.732050807568756</v>
      </c>
      <c r="D23" s="5">
        <f t="shared" si="4"/>
        <v>2</v>
      </c>
      <c r="E23" s="5">
        <f t="shared" si="5"/>
        <v>1.7320508075688585</v>
      </c>
      <c r="F23" s="5">
        <f t="shared" si="6"/>
        <v>-1.1475265182525618E-12</v>
      </c>
      <c r="G23" s="5">
        <f t="shared" si="7"/>
        <v>3</v>
      </c>
      <c r="H23" s="5">
        <f t="shared" si="8"/>
        <v>-1.7763568394002505E-13</v>
      </c>
      <c r="I23" s="5">
        <f t="shared" si="9"/>
        <v>2.0384165790910945E-25</v>
      </c>
      <c r="J23" s="5" t="b">
        <f t="shared" si="1"/>
        <v>1</v>
      </c>
    </row>
    <row r="24" spans="2:10" x14ac:dyDescent="0.35">
      <c r="B24" s="5">
        <f t="shared" si="2"/>
        <v>18</v>
      </c>
      <c r="C24" s="5">
        <f t="shared" si="3"/>
        <v>1.7320508075688585</v>
      </c>
      <c r="D24" s="5">
        <f t="shared" si="4"/>
        <v>2</v>
      </c>
      <c r="E24" s="5">
        <f t="shared" si="5"/>
        <v>1.7320508075688743</v>
      </c>
      <c r="F24" s="5">
        <f t="shared" si="6"/>
        <v>-1.7763568394002505E-13</v>
      </c>
      <c r="G24" s="5">
        <f t="shared" si="7"/>
        <v>3</v>
      </c>
      <c r="H24" s="5">
        <f t="shared" si="8"/>
        <v>-2.8421709430404007E-14</v>
      </c>
      <c r="I24" s="5">
        <f t="shared" si="9"/>
        <v>5.0487097934144756E-27</v>
      </c>
      <c r="J24" s="5" t="b">
        <f t="shared" si="1"/>
        <v>1</v>
      </c>
    </row>
    <row r="25" spans="2:10" x14ac:dyDescent="0.35">
      <c r="B25" s="5">
        <f t="shared" si="2"/>
        <v>19</v>
      </c>
      <c r="C25" s="5">
        <f t="shared" si="3"/>
        <v>1.7320508075688743</v>
      </c>
      <c r="D25" s="5">
        <f t="shared" si="4"/>
        <v>2</v>
      </c>
      <c r="E25" s="5">
        <f t="shared" si="5"/>
        <v>1.7320508075688767</v>
      </c>
      <c r="F25" s="5">
        <f t="shared" si="6"/>
        <v>-2.8421709430404007E-14</v>
      </c>
      <c r="G25" s="5">
        <f t="shared" si="7"/>
        <v>3</v>
      </c>
      <c r="H25" s="5">
        <f t="shared" si="8"/>
        <v>-5.3290705182007514E-15</v>
      </c>
      <c r="I25" s="5">
        <f t="shared" si="9"/>
        <v>1.5146129380243427E-28</v>
      </c>
      <c r="J25" s="5" t="b">
        <f t="shared" si="1"/>
        <v>1</v>
      </c>
    </row>
    <row r="26" spans="2:10" x14ac:dyDescent="0.35">
      <c r="B26" s="5">
        <f t="shared" si="2"/>
        <v>20</v>
      </c>
      <c r="C26" s="5">
        <f t="shared" si="3"/>
        <v>1.7320508075688767</v>
      </c>
      <c r="D26" s="5">
        <f t="shared" si="4"/>
        <v>2</v>
      </c>
      <c r="E26" s="6">
        <f>C26-F26*(D26-C26)/(G26-F26)</f>
        <v>1.7320508075688772</v>
      </c>
      <c r="F26" s="5">
        <f t="shared" si="6"/>
        <v>-5.3290705182007514E-15</v>
      </c>
      <c r="G26" s="5">
        <f t="shared" si="7"/>
        <v>3</v>
      </c>
      <c r="H26" s="5">
        <f t="shared" si="8"/>
        <v>0</v>
      </c>
      <c r="I26" s="5">
        <f t="shared" si="9"/>
        <v>0</v>
      </c>
      <c r="J26" s="5" t="b">
        <f t="shared" si="1"/>
        <v>1</v>
      </c>
    </row>
    <row r="27" spans="2:10" x14ac:dyDescent="0.35">
      <c r="B27" s="5">
        <f>B26+1</f>
        <v>21</v>
      </c>
      <c r="C27" s="5">
        <f>IF(I26&gt;0,E26,C26)</f>
        <v>1.7320508075688767</v>
      </c>
      <c r="D27" s="5">
        <f>IF(I26&lt;0,E26,D26)</f>
        <v>2</v>
      </c>
      <c r="E27" s="5">
        <f>C27-F27*(D27-C27)/(G27-F27)</f>
        <v>1.7320508075688772</v>
      </c>
      <c r="F27" s="5">
        <f>C27^3+C27^2-3*C27-3</f>
        <v>-5.3290705182007514E-15</v>
      </c>
      <c r="G27" s="5">
        <f>D27^3+D27^2-3*D27-3</f>
        <v>3</v>
      </c>
      <c r="H27" s="5">
        <f>E27^3+E27^2-3*E27-3</f>
        <v>0</v>
      </c>
      <c r="I27" s="5">
        <f>H27*F27</f>
        <v>0</v>
      </c>
      <c r="J27" s="5" t="b">
        <f t="shared" si="1"/>
        <v>1</v>
      </c>
    </row>
    <row r="28" spans="2:10" x14ac:dyDescent="0.35">
      <c r="B28" s="5">
        <f t="shared" ref="B28" si="10">B27+1</f>
        <v>22</v>
      </c>
      <c r="C28" s="5">
        <f t="shared" ref="C28" si="11">IF(I27&gt;0,E27,C27)</f>
        <v>1.7320508075688767</v>
      </c>
      <c r="D28" s="5">
        <f t="shared" ref="D28" si="12">IF(I27&lt;0,E27,D27)</f>
        <v>2</v>
      </c>
      <c r="E28" s="5">
        <f t="shared" ref="E28" si="13">C28-F28*(D28-C28)/(G28-F28)</f>
        <v>1.7320508075688772</v>
      </c>
      <c r="F28" s="5">
        <f t="shared" ref="F28" si="14">C28^3+C28^2-3*C28-3</f>
        <v>-5.3290705182007514E-15</v>
      </c>
      <c r="G28" s="5">
        <f t="shared" ref="G28" si="15">D28^3+D28^2-3*D28-3</f>
        <v>3</v>
      </c>
      <c r="H28" s="5">
        <f t="shared" ref="H28" si="16">E28^3+E28^2-3*E28-3</f>
        <v>0</v>
      </c>
      <c r="I28" s="5">
        <f t="shared" ref="I28" si="17">H28*F28</f>
        <v>0</v>
      </c>
      <c r="J28" s="5" t="b">
        <f t="shared" si="1"/>
        <v>1</v>
      </c>
    </row>
    <row r="29" spans="2:10" x14ac:dyDescent="0.35">
      <c r="J29" s="5"/>
    </row>
    <row r="30" spans="2:10" x14ac:dyDescent="0.35">
      <c r="J30" s="5"/>
    </row>
  </sheetData>
  <mergeCells count="1">
    <mergeCell ref="D3:D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2022-04-15T13:35:04Z</dcterms:created>
  <dcterms:modified xsi:type="dcterms:W3CDTF">2022-04-16T14:33:11Z</dcterms:modified>
</cp:coreProperties>
</file>