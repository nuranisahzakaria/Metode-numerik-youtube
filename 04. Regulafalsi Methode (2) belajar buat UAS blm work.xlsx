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03. Metode Numerik Youtube\"/>
    </mc:Choice>
  </mc:AlternateContent>
  <xr:revisionPtr revIDLastSave="0" documentId="8_{343E5483-6FCF-49A0-9C13-7A3477C2909A}" xr6:coauthVersionLast="45" xr6:coauthVersionMax="45" xr10:uidLastSave="{00000000-0000-0000-0000-000000000000}"/>
  <bookViews>
    <workbookView xWindow="-110" yWindow="-110" windowWidth="19420" windowHeight="10420" xr2:uid="{0C9BE107-5214-4A0B-B284-C97657F14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9" i="1"/>
  <c r="E9" i="1"/>
  <c r="D9" i="1" s="1"/>
  <c r="G9" i="1" s="1"/>
  <c r="H9" i="1" s="1"/>
  <c r="F9" i="1"/>
  <c r="G8" i="1"/>
  <c r="E8" i="1"/>
  <c r="F8" i="1"/>
  <c r="G7" i="1"/>
  <c r="F7" i="1"/>
  <c r="E7" i="1"/>
  <c r="B10" i="1" l="1"/>
  <c r="C10" i="1"/>
  <c r="F10" i="1" s="1"/>
  <c r="I9" i="1"/>
  <c r="D7" i="1"/>
  <c r="E10" i="1" l="1"/>
  <c r="D10" i="1" s="1"/>
  <c r="G10" i="1" s="1"/>
  <c r="H10" i="1" s="1"/>
  <c r="H7" i="1"/>
  <c r="B11" i="1" l="1"/>
  <c r="C11" i="1"/>
  <c r="F11" i="1" s="1"/>
  <c r="I10" i="1"/>
  <c r="B8" i="1"/>
  <c r="I7" i="1"/>
  <c r="C8" i="1"/>
  <c r="E11" i="1" l="1"/>
  <c r="D11" i="1" s="1"/>
  <c r="G11" i="1" s="1"/>
  <c r="H11" i="1" s="1"/>
  <c r="D8" i="1"/>
  <c r="B12" i="1" l="1"/>
  <c r="C12" i="1"/>
  <c r="F12" i="1" s="1"/>
  <c r="I11" i="1"/>
  <c r="H8" i="1"/>
  <c r="E12" i="1" l="1"/>
  <c r="D12" i="1" s="1"/>
  <c r="G12" i="1" s="1"/>
  <c r="H12" i="1" s="1"/>
  <c r="I8" i="1"/>
  <c r="B13" i="1" l="1"/>
  <c r="C13" i="1"/>
  <c r="F13" i="1" s="1"/>
  <c r="I12" i="1"/>
  <c r="E13" i="1" l="1"/>
  <c r="D13" i="1" s="1"/>
  <c r="G13" i="1" s="1"/>
  <c r="H13" i="1" s="1"/>
  <c r="B14" i="1" l="1"/>
  <c r="C14" i="1"/>
  <c r="F14" i="1" s="1"/>
  <c r="I13" i="1"/>
  <c r="E14" i="1" l="1"/>
  <c r="D14" i="1" s="1"/>
  <c r="G14" i="1" s="1"/>
  <c r="H14" i="1" s="1"/>
  <c r="B15" i="1" l="1"/>
  <c r="C15" i="1"/>
  <c r="F15" i="1" s="1"/>
  <c r="I14" i="1"/>
  <c r="E15" i="1" l="1"/>
  <c r="D15" i="1"/>
  <c r="G15" i="1" s="1"/>
  <c r="H15" i="1" s="1"/>
  <c r="I15" i="1" s="1"/>
</calcChain>
</file>

<file path=xl/sharedStrings.xml><?xml version="1.0" encoding="utf-8"?>
<sst xmlns="http://schemas.openxmlformats.org/spreadsheetml/2006/main" count="15" uniqueCount="15">
  <si>
    <t>Regulafalsi Method</t>
  </si>
  <si>
    <r>
      <t>x</t>
    </r>
    <r>
      <rPr>
        <b/>
        <sz val="9"/>
        <color theme="1"/>
        <rFont val="Times New Roman"/>
        <family val="1"/>
      </rPr>
      <t>n</t>
    </r>
  </si>
  <si>
    <r>
      <t>x</t>
    </r>
    <r>
      <rPr>
        <b/>
        <sz val="9"/>
        <color theme="1"/>
        <rFont val="Times New Roman"/>
        <family val="1"/>
      </rPr>
      <t>n+1</t>
    </r>
  </si>
  <si>
    <r>
      <t>x</t>
    </r>
    <r>
      <rPr>
        <b/>
        <sz val="9"/>
        <color theme="1"/>
        <rFont val="Times New Roman"/>
        <family val="1"/>
      </rPr>
      <t>t</t>
    </r>
  </si>
  <si>
    <r>
      <t>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</si>
  <si>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n+1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</si>
  <si>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</t>
    </r>
  </si>
  <si>
    <r>
      <t>f(x</t>
    </r>
    <r>
      <rPr>
        <b/>
        <sz val="9"/>
        <color theme="1"/>
        <rFont val="Times New Roman"/>
        <family val="1"/>
      </rPr>
      <t>t</t>
    </r>
    <r>
      <rPr>
        <b/>
        <sz val="11"/>
        <color theme="1"/>
        <rFont val="Times New Roman"/>
        <family val="1"/>
      </rPr>
      <t>).f(x</t>
    </r>
    <r>
      <rPr>
        <b/>
        <sz val="9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</si>
  <si>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t>Pengujian Nilai</t>
  </si>
  <si>
    <t>f(x)</t>
  </si>
  <si>
    <t>e</t>
  </si>
  <si>
    <r>
      <t>x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=x</t>
    </r>
    <r>
      <rPr>
        <sz val="8"/>
        <color theme="1"/>
        <rFont val="Calibri"/>
        <family val="2"/>
        <scheme val="minor"/>
      </rPr>
      <t>n-</t>
    </r>
    <r>
      <rPr>
        <sz val="11"/>
        <color theme="1"/>
        <rFont val="Calibri"/>
        <family val="2"/>
        <scheme val="minor"/>
      </rPr>
      <t>f(x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</si>
  <si>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sz val="8"/>
        <color theme="1"/>
        <rFont val="Calibri"/>
        <family val="2"/>
        <scheme val="minor"/>
      </rPr>
      <t>n+1</t>
    </r>
    <r>
      <rPr>
        <sz val="11"/>
        <color theme="1"/>
        <rFont val="Calibri"/>
        <family val="2"/>
        <scheme val="minor"/>
      </rPr>
      <t xml:space="preserve"> - x</t>
    </r>
    <r>
      <rPr>
        <sz val="9"/>
        <color theme="1"/>
        <rFont val="Calibri"/>
        <family val="2"/>
        <scheme val="minor"/>
      </rPr>
      <t>n</t>
    </r>
  </si>
  <si>
    <r>
      <t>f(x</t>
    </r>
    <r>
      <rPr>
        <sz val="8"/>
        <color theme="1"/>
        <rFont val="Calibri"/>
        <family val="2"/>
        <scheme val="minor"/>
      </rPr>
      <t>n+1</t>
    </r>
    <r>
      <rPr>
        <sz val="11"/>
        <color theme="1"/>
        <rFont val="Calibri"/>
        <family val="2"/>
        <scheme val="minor"/>
      </rPr>
      <t>) - f(x</t>
    </r>
    <r>
      <rPr>
        <sz val="8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</si>
  <si>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t>3x^5 - x^4 -9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</si>
</sst>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05EA-A8A7-4639-A258-CB57A5D8EDEC}">
  <dimension ref="B1:I15"/>
  <sheetViews>
    <sheetView tabSelected="1" workbookViewId="0">
      <selection activeCell="D7" sqref="D7"/>
    </sheetView>
  </sheetViews>
  <sheetFormatPr defaultRowHeight="14.5" x14ac:dyDescent="0.35"/>
  <cols>
    <col min="4" max="4" width="11.6328125" customWidth="1"/>
    <col min="8" max="8" width="11.1796875" customWidth="1"/>
    <col min="9" max="9" width="17.81640625" customWidth="1"/>
  </cols>
  <sheetData>
    <row r="1" spans="2:9" x14ac:dyDescent="0.35">
      <c r="C1" t="s">
        <v>0</v>
      </c>
    </row>
    <row r="3" spans="2:9" x14ac:dyDescent="0.35">
      <c r="B3" t="s">
        <v>9</v>
      </c>
      <c r="C3" t="s">
        <v>14</v>
      </c>
      <c r="E3" s="2" t="s">
        <v>11</v>
      </c>
      <c r="F3" s="3" t="s">
        <v>12</v>
      </c>
    </row>
    <row r="4" spans="2:9" x14ac:dyDescent="0.35">
      <c r="B4" t="s">
        <v>10</v>
      </c>
      <c r="C4">
        <v>1E-4</v>
      </c>
      <c r="E4" s="2"/>
      <c r="F4" s="4" t="s">
        <v>13</v>
      </c>
    </row>
    <row r="6" spans="2:9" x14ac:dyDescent="0.3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2:9" x14ac:dyDescent="0.35">
      <c r="B7">
        <v>1</v>
      </c>
      <c r="C7">
        <v>2</v>
      </c>
      <c r="D7">
        <f>(B7-E7)*(C7-B7)/(F7-E7)</f>
        <v>0.10256410256410256</v>
      </c>
      <c r="E7">
        <f>3*(B7^5)-B7^4-9</f>
        <v>-7</v>
      </c>
      <c r="F7">
        <f>3*(C7^5)-C7^4-9</f>
        <v>71</v>
      </c>
      <c r="G7">
        <f>3*(D7^5)-D7^4-9</f>
        <v>-9.0000766091589242</v>
      </c>
      <c r="H7">
        <f>G7*E7</f>
        <v>63.000536264112469</v>
      </c>
      <c r="I7" t="b">
        <f>H7&lt;0.0001</f>
        <v>0</v>
      </c>
    </row>
    <row r="8" spans="2:9" x14ac:dyDescent="0.35">
      <c r="B8">
        <f>IF(H7&gt;0,D7,B7)</f>
        <v>0.10256410256410256</v>
      </c>
      <c r="C8">
        <f>IF(H7&lt;0,G7,C7)</f>
        <v>2</v>
      </c>
      <c r="D8">
        <f>(B8-E8)*(C8-B8)/(F8-E8)</f>
        <v>0.2158957588536527</v>
      </c>
      <c r="E8">
        <f>3*(B8^5)-B8^4-9</f>
        <v>-9.0000766091589242</v>
      </c>
      <c r="F8">
        <f>3*(C8^5)-C8^4-9</f>
        <v>71</v>
      </c>
      <c r="G8">
        <f>3*(D8^5)-D8^4-9</f>
        <v>-9.0007654287514871</v>
      </c>
      <c r="H8">
        <f>G8*E8</f>
        <v>81.007578399832553</v>
      </c>
      <c r="I8" t="b">
        <f t="shared" ref="I6:I39" si="0">H8&lt;0.0001</f>
        <v>0</v>
      </c>
    </row>
    <row r="9" spans="2:9" x14ac:dyDescent="0.35">
      <c r="B9">
        <f t="shared" ref="B9:B16" si="1">IF(H8&gt;0,D8,B8)</f>
        <v>0.2158957588536527</v>
      </c>
      <c r="C9">
        <f t="shared" ref="C9:C16" si="2">IF(H8&lt;0,G8,C8)</f>
        <v>2</v>
      </c>
      <c r="D9">
        <f t="shared" ref="D9:D16" si="3">(B9-E9)*(C9-B9)/(F9-E9)</f>
        <v>0.20554158733218364</v>
      </c>
      <c r="E9">
        <f t="shared" ref="E9:E16" si="4">3*(B9^5)-B9^4-9</f>
        <v>-9.0007654287514871</v>
      </c>
      <c r="F9">
        <f t="shared" ref="F9:F16" si="5">3*(C9^5)-C9^4-9</f>
        <v>71</v>
      </c>
      <c r="G9">
        <f t="shared" ref="G9:G16" si="6">3*(D9^5)-D9^4-9</f>
        <v>-9.000684262725807</v>
      </c>
      <c r="H9">
        <f t="shared" ref="H9:H16" si="7">G9*E9</f>
        <v>81.01304774705001</v>
      </c>
      <c r="I9" t="b">
        <f t="shared" si="0"/>
        <v>0</v>
      </c>
    </row>
    <row r="10" spans="2:9" x14ac:dyDescent="0.35">
      <c r="B10">
        <f t="shared" si="1"/>
        <v>0.20554158733218364</v>
      </c>
      <c r="C10">
        <f t="shared" si="2"/>
        <v>2</v>
      </c>
      <c r="D10">
        <f t="shared" si="3"/>
        <v>0.20650060156114969</v>
      </c>
      <c r="E10">
        <f t="shared" si="4"/>
        <v>-9.000684262725807</v>
      </c>
      <c r="F10">
        <f t="shared" si="5"/>
        <v>71</v>
      </c>
      <c r="G10">
        <f t="shared" si="6"/>
        <v>-9.0006918913257152</v>
      </c>
      <c r="H10">
        <f t="shared" si="7"/>
        <v>81.01238585989914</v>
      </c>
      <c r="I10" t="b">
        <f t="shared" si="0"/>
        <v>0</v>
      </c>
    </row>
    <row r="11" spans="2:9" x14ac:dyDescent="0.35">
      <c r="B11">
        <f t="shared" si="1"/>
        <v>0.20650060156114969</v>
      </c>
      <c r="C11">
        <f t="shared" si="2"/>
        <v>2</v>
      </c>
      <c r="D11">
        <f t="shared" si="3"/>
        <v>0.20641189228381868</v>
      </c>
      <c r="E11">
        <f t="shared" si="4"/>
        <v>-9.0006918913257152</v>
      </c>
      <c r="F11">
        <f t="shared" si="5"/>
        <v>71</v>
      </c>
      <c r="G11">
        <f t="shared" si="6"/>
        <v>-9.0006911862820882</v>
      </c>
      <c r="H11">
        <f t="shared" si="7"/>
        <v>81.012448176696026</v>
      </c>
      <c r="I11" t="b">
        <f t="shared" si="0"/>
        <v>0</v>
      </c>
    </row>
    <row r="12" spans="2:9" x14ac:dyDescent="0.35">
      <c r="B12">
        <f t="shared" si="1"/>
        <v>0.20641189228381868</v>
      </c>
      <c r="C12">
        <f t="shared" si="2"/>
        <v>2</v>
      </c>
      <c r="D12">
        <f t="shared" si="3"/>
        <v>0.20642009891865168</v>
      </c>
      <c r="E12">
        <f t="shared" si="4"/>
        <v>-9.0006911862820882</v>
      </c>
      <c r="F12">
        <f t="shared" si="5"/>
        <v>71</v>
      </c>
      <c r="G12">
        <f t="shared" si="6"/>
        <v>-9.0006912515122277</v>
      </c>
      <c r="H12">
        <f t="shared" si="7"/>
        <v>81.012442417932405</v>
      </c>
      <c r="I12" t="b">
        <f t="shared" si="0"/>
        <v>0</v>
      </c>
    </row>
    <row r="13" spans="2:9" x14ac:dyDescent="0.35">
      <c r="B13">
        <f t="shared" si="1"/>
        <v>0.20642009891865168</v>
      </c>
      <c r="C13">
        <f t="shared" si="2"/>
        <v>2</v>
      </c>
      <c r="D13">
        <f t="shared" si="3"/>
        <v>0.20641933971837556</v>
      </c>
      <c r="E13">
        <f t="shared" si="4"/>
        <v>-9.0006912515122277</v>
      </c>
      <c r="F13">
        <f t="shared" si="5"/>
        <v>71</v>
      </c>
      <c r="G13">
        <f t="shared" si="6"/>
        <v>-9.0006912454777979</v>
      </c>
      <c r="H13">
        <f t="shared" si="7"/>
        <v>81.012442950734709</v>
      </c>
      <c r="I13" t="b">
        <f t="shared" si="0"/>
        <v>0</v>
      </c>
    </row>
    <row r="14" spans="2:9" x14ac:dyDescent="0.35">
      <c r="B14">
        <f t="shared" si="1"/>
        <v>0.20641933971837556</v>
      </c>
      <c r="C14">
        <f t="shared" si="2"/>
        <v>2</v>
      </c>
      <c r="D14">
        <f t="shared" si="3"/>
        <v>0.20641940995248031</v>
      </c>
      <c r="E14">
        <f t="shared" si="4"/>
        <v>-9.0006912454777979</v>
      </c>
      <c r="F14">
        <f t="shared" si="5"/>
        <v>71</v>
      </c>
      <c r="G14">
        <f t="shared" si="6"/>
        <v>-9.0006912460360482</v>
      </c>
      <c r="H14">
        <f t="shared" si="7"/>
        <v>81.012442901445311</v>
      </c>
      <c r="I14" t="b">
        <f t="shared" si="0"/>
        <v>0</v>
      </c>
    </row>
    <row r="15" spans="2:9" x14ac:dyDescent="0.35">
      <c r="B15">
        <f t="shared" si="1"/>
        <v>0.20641940995248031</v>
      </c>
      <c r="C15">
        <f t="shared" si="2"/>
        <v>2</v>
      </c>
      <c r="D15">
        <f t="shared" si="3"/>
        <v>0.20641940345507892</v>
      </c>
      <c r="E15">
        <f t="shared" si="4"/>
        <v>-9.0006912460360482</v>
      </c>
      <c r="F15">
        <f t="shared" si="5"/>
        <v>71</v>
      </c>
      <c r="G15">
        <f t="shared" si="6"/>
        <v>-9.0006912459844042</v>
      </c>
      <c r="H15">
        <f t="shared" si="7"/>
        <v>81.01244290600512</v>
      </c>
      <c r="I15" t="b">
        <f t="shared" si="0"/>
        <v>0</v>
      </c>
    </row>
  </sheetData>
  <mergeCells count="1"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2022-07-02T16:36:53Z</dcterms:created>
  <dcterms:modified xsi:type="dcterms:W3CDTF">2022-07-02T16:58:17Z</dcterms:modified>
</cp:coreProperties>
</file>