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"/>
    </mc:Choice>
  </mc:AlternateContent>
  <xr:revisionPtr revIDLastSave="0" documentId="13_ncr:1_{C65DE106-9D92-468E-9427-89B482790ED4}" xr6:coauthVersionLast="45" xr6:coauthVersionMax="45" xr10:uidLastSave="{00000000-0000-0000-0000-000000000000}"/>
  <bookViews>
    <workbookView xWindow="1100" yWindow="1100" windowWidth="14400" windowHeight="7360" xr2:uid="{9A41BDF3-FA72-42CA-A766-B4A09B997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L16" i="1"/>
  <c r="K4" i="1"/>
  <c r="K5" i="1"/>
  <c r="K6" i="1"/>
  <c r="K7" i="1"/>
  <c r="K8" i="1"/>
  <c r="K9" i="1"/>
  <c r="K10" i="1"/>
  <c r="K11" i="1"/>
  <c r="K12" i="1"/>
  <c r="K13" i="1"/>
  <c r="K14" i="1"/>
  <c r="J4" i="1"/>
  <c r="J5" i="1"/>
  <c r="J6" i="1"/>
  <c r="J7" i="1"/>
  <c r="J8" i="1"/>
  <c r="J9" i="1"/>
  <c r="J10" i="1"/>
  <c r="J11" i="1"/>
  <c r="J12" i="1"/>
  <c r="J13" i="1"/>
  <c r="J14" i="1"/>
  <c r="J3" i="1"/>
  <c r="K3" i="1"/>
  <c r="I27" i="1"/>
  <c r="H27" i="1"/>
  <c r="I23" i="1"/>
  <c r="G16" i="1"/>
  <c r="H23" i="1" s="1"/>
  <c r="H16" i="1"/>
  <c r="I16" i="1"/>
  <c r="J16" i="1"/>
  <c r="I12" i="1"/>
  <c r="I13" i="1"/>
  <c r="I14" i="1"/>
  <c r="I4" i="1"/>
  <c r="I5" i="1"/>
  <c r="I6" i="1"/>
  <c r="I7" i="1"/>
  <c r="I8" i="1"/>
  <c r="I9" i="1"/>
  <c r="I10" i="1"/>
  <c r="I11" i="1"/>
  <c r="I3" i="1"/>
</calcChain>
</file>

<file path=xl/sharedStrings.xml><?xml version="1.0" encoding="utf-8"?>
<sst xmlns="http://schemas.openxmlformats.org/spreadsheetml/2006/main" count="36" uniqueCount="30">
  <si>
    <t>Januari</t>
  </si>
  <si>
    <t>Februari</t>
  </si>
  <si>
    <t xml:space="preserve">Maret </t>
  </si>
  <si>
    <t>April</t>
  </si>
  <si>
    <t xml:space="preserve">Mei </t>
  </si>
  <si>
    <t>Juni</t>
  </si>
  <si>
    <t>Agustus</t>
  </si>
  <si>
    <t>September</t>
  </si>
  <si>
    <t>Curah hujan (mm)</t>
  </si>
  <si>
    <t>Payung Terjual</t>
  </si>
  <si>
    <t>Juli</t>
  </si>
  <si>
    <t>Data perbandingan curah hujan dan penjualan payung di toko Sejahtera</t>
  </si>
  <si>
    <t>Bulan</t>
  </si>
  <si>
    <t>No</t>
  </si>
  <si>
    <r>
      <t>x</t>
    </r>
    <r>
      <rPr>
        <b/>
        <sz val="8"/>
        <color theme="1"/>
        <rFont val="Times New Roman"/>
        <family val="1"/>
      </rPr>
      <t>i</t>
    </r>
  </si>
  <si>
    <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</si>
  <si>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</si>
  <si>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8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</si>
  <si>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-ȳ)</t>
    </r>
    <r>
      <rPr>
        <b/>
        <sz val="12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</si>
  <si>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 - a - bx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)²</t>
    </r>
  </si>
  <si>
    <t>Dari tabel diatas dapat ditentukan:</t>
  </si>
  <si>
    <t>x</t>
  </si>
  <si>
    <t>Oktober</t>
  </si>
  <si>
    <t>November</t>
  </si>
  <si>
    <t>Desember</t>
  </si>
  <si>
    <t>Σx</t>
  </si>
  <si>
    <t>n</t>
  </si>
  <si>
    <t>Σ</t>
  </si>
  <si>
    <t>y</t>
  </si>
  <si>
    <t>Σy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</si>
</sst>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CB42-9F4D-4F62-BD19-C06840DFB0F1}">
  <dimension ref="A1:L28"/>
  <sheetViews>
    <sheetView tabSelected="1" workbookViewId="0">
      <selection activeCell="L3" sqref="L3"/>
    </sheetView>
  </sheetViews>
  <sheetFormatPr defaultColWidth="18" defaultRowHeight="15.5" x14ac:dyDescent="0.35"/>
  <cols>
    <col min="1" max="1" width="12.54296875" style="2" customWidth="1"/>
    <col min="2" max="2" width="19.08984375" style="2" customWidth="1"/>
    <col min="3" max="3" width="15.90625" style="2" customWidth="1"/>
    <col min="4" max="5" width="18" style="2" customWidth="1"/>
    <col min="6" max="6" width="4.54296875" style="2" customWidth="1"/>
    <col min="7" max="7" width="9" style="2" customWidth="1"/>
    <col min="8" max="8" width="8.90625" style="2" customWidth="1"/>
    <col min="9" max="9" width="12.6328125" style="2" customWidth="1"/>
    <col min="10" max="10" width="9.26953125" style="2" customWidth="1"/>
    <col min="11" max="11" width="10.6328125" style="2" customWidth="1"/>
    <col min="12" max="12" width="11.54296875" style="2" customWidth="1"/>
    <col min="13" max="13" width="8.7265625" style="2" customWidth="1"/>
    <col min="14" max="16384" width="18" style="2"/>
  </cols>
  <sheetData>
    <row r="1" spans="1:12" ht="16" thickBot="1" x14ac:dyDescent="0.4">
      <c r="A1" s="1" t="s">
        <v>11</v>
      </c>
      <c r="B1" s="1"/>
      <c r="C1" s="1"/>
    </row>
    <row r="2" spans="1:12" ht="16.5" thickTop="1" thickBot="1" x14ac:dyDescent="0.4">
      <c r="A2" s="3" t="s">
        <v>12</v>
      </c>
      <c r="B2" s="3" t="s">
        <v>8</v>
      </c>
      <c r="C2" s="3" t="s">
        <v>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spans="1:12" ht="16" thickBot="1" x14ac:dyDescent="0.4">
      <c r="A3" s="4" t="s">
        <v>0</v>
      </c>
      <c r="B3" s="5">
        <v>82</v>
      </c>
      <c r="C3" s="4">
        <v>15</v>
      </c>
      <c r="F3" s="4">
        <v>1</v>
      </c>
      <c r="G3" s="5">
        <v>82</v>
      </c>
      <c r="H3" s="4">
        <v>15</v>
      </c>
      <c r="I3" s="4">
        <f>G3*H3</f>
        <v>1230</v>
      </c>
      <c r="J3" s="4">
        <f>G3^2</f>
        <v>6724</v>
      </c>
      <c r="K3" s="4">
        <f>(H3-I27)^2</f>
        <v>434.02777777777789</v>
      </c>
      <c r="L3" s="4"/>
    </row>
    <row r="4" spans="1:12" ht="16" thickBot="1" x14ac:dyDescent="0.4">
      <c r="A4" s="4" t="s">
        <v>1</v>
      </c>
      <c r="B4" s="5">
        <v>92.5</v>
      </c>
      <c r="C4" s="4">
        <v>25</v>
      </c>
      <c r="F4" s="4">
        <v>2</v>
      </c>
      <c r="G4" s="5">
        <v>92.5</v>
      </c>
      <c r="H4" s="4">
        <v>25</v>
      </c>
      <c r="I4" s="4">
        <f t="shared" ref="I4:I11" si="0">G4*H4</f>
        <v>2312.5</v>
      </c>
      <c r="J4" s="4">
        <f t="shared" ref="J4:J14" si="1">G4^2</f>
        <v>8556.25</v>
      </c>
      <c r="K4" s="4">
        <f t="shared" ref="K4:K14" si="2">(H4-I28)^2</f>
        <v>625</v>
      </c>
      <c r="L4" s="4"/>
    </row>
    <row r="5" spans="1:12" ht="16" thickBot="1" x14ac:dyDescent="0.4">
      <c r="A5" s="4" t="s">
        <v>2</v>
      </c>
      <c r="B5" s="5">
        <v>82.2</v>
      </c>
      <c r="C5" s="4">
        <v>17</v>
      </c>
      <c r="F5" s="4">
        <v>3</v>
      </c>
      <c r="G5" s="5">
        <v>82.2</v>
      </c>
      <c r="H5" s="4">
        <v>17</v>
      </c>
      <c r="I5" s="4">
        <f t="shared" si="0"/>
        <v>1397.4</v>
      </c>
      <c r="J5" s="4">
        <f t="shared" si="1"/>
        <v>6756.84</v>
      </c>
      <c r="K5" s="4">
        <f t="shared" si="2"/>
        <v>289</v>
      </c>
      <c r="L5" s="4"/>
    </row>
    <row r="6" spans="1:12" ht="16" thickBot="1" x14ac:dyDescent="0.4">
      <c r="A6" s="4" t="s">
        <v>3</v>
      </c>
      <c r="B6" s="5">
        <v>97.7</v>
      </c>
      <c r="C6" s="4">
        <v>28</v>
      </c>
      <c r="F6" s="4">
        <v>4</v>
      </c>
      <c r="G6" s="5">
        <v>97.7</v>
      </c>
      <c r="H6" s="4">
        <v>28</v>
      </c>
      <c r="I6" s="4">
        <f t="shared" si="0"/>
        <v>2735.6</v>
      </c>
      <c r="J6" s="4">
        <f t="shared" si="1"/>
        <v>9545.2900000000009</v>
      </c>
      <c r="K6" s="4">
        <f t="shared" si="2"/>
        <v>784</v>
      </c>
      <c r="L6" s="4"/>
    </row>
    <row r="7" spans="1:12" ht="16" thickBot="1" x14ac:dyDescent="0.4">
      <c r="A7" s="4" t="s">
        <v>4</v>
      </c>
      <c r="B7" s="5">
        <v>131.9</v>
      </c>
      <c r="C7" s="4">
        <v>41</v>
      </c>
      <c r="F7" s="4">
        <v>5</v>
      </c>
      <c r="G7" s="5">
        <v>131.9</v>
      </c>
      <c r="H7" s="4">
        <v>41</v>
      </c>
      <c r="I7" s="4">
        <f t="shared" si="0"/>
        <v>5407.9000000000005</v>
      </c>
      <c r="J7" s="4">
        <f t="shared" si="1"/>
        <v>17397.61</v>
      </c>
      <c r="K7" s="4">
        <f t="shared" si="2"/>
        <v>1681</v>
      </c>
      <c r="L7" s="4"/>
    </row>
    <row r="8" spans="1:12" ht="16" thickBot="1" x14ac:dyDescent="0.4">
      <c r="A8" s="4" t="s">
        <v>5</v>
      </c>
      <c r="B8" s="5">
        <v>141.30000000000001</v>
      </c>
      <c r="C8" s="4">
        <v>47</v>
      </c>
      <c r="F8" s="4">
        <v>6</v>
      </c>
      <c r="G8" s="5">
        <v>141.30000000000001</v>
      </c>
      <c r="H8" s="4">
        <v>47</v>
      </c>
      <c r="I8" s="4">
        <f t="shared" si="0"/>
        <v>6641.1</v>
      </c>
      <c r="J8" s="4">
        <f t="shared" si="1"/>
        <v>19965.690000000002</v>
      </c>
      <c r="K8" s="4">
        <f t="shared" si="2"/>
        <v>2209</v>
      </c>
      <c r="L8" s="4"/>
    </row>
    <row r="9" spans="1:12" ht="16" thickBot="1" x14ac:dyDescent="0.4">
      <c r="A9" s="4" t="s">
        <v>10</v>
      </c>
      <c r="B9" s="5">
        <v>165.4</v>
      </c>
      <c r="C9" s="4">
        <v>50</v>
      </c>
      <c r="F9" s="4">
        <v>7</v>
      </c>
      <c r="G9" s="5">
        <v>165.4</v>
      </c>
      <c r="H9" s="4">
        <v>50</v>
      </c>
      <c r="I9" s="4">
        <f t="shared" si="0"/>
        <v>8270</v>
      </c>
      <c r="J9" s="4">
        <f t="shared" si="1"/>
        <v>27357.160000000003</v>
      </c>
      <c r="K9" s="4">
        <f t="shared" si="2"/>
        <v>2500</v>
      </c>
      <c r="L9" s="4"/>
    </row>
    <row r="10" spans="1:12" ht="16" thickBot="1" x14ac:dyDescent="0.4">
      <c r="A10" s="4" t="s">
        <v>6</v>
      </c>
      <c r="B10" s="5">
        <v>140</v>
      </c>
      <c r="C10" s="4">
        <v>46</v>
      </c>
      <c r="F10" s="4">
        <v>8</v>
      </c>
      <c r="G10" s="5">
        <v>165.5</v>
      </c>
      <c r="H10" s="4">
        <v>46</v>
      </c>
      <c r="I10" s="4">
        <f t="shared" si="0"/>
        <v>7613</v>
      </c>
      <c r="J10" s="4">
        <f t="shared" si="1"/>
        <v>27390.25</v>
      </c>
      <c r="K10" s="4">
        <f t="shared" si="2"/>
        <v>2116</v>
      </c>
      <c r="L10" s="4"/>
    </row>
    <row r="11" spans="1:12" ht="16" thickBot="1" x14ac:dyDescent="0.4">
      <c r="A11" s="4" t="s">
        <v>7</v>
      </c>
      <c r="B11" s="5">
        <v>126.7</v>
      </c>
      <c r="C11" s="4">
        <v>37</v>
      </c>
      <c r="F11" s="4">
        <v>9</v>
      </c>
      <c r="G11" s="5">
        <v>126.6</v>
      </c>
      <c r="H11" s="4">
        <v>37</v>
      </c>
      <c r="I11" s="4">
        <f t="shared" si="0"/>
        <v>4684.2</v>
      </c>
      <c r="J11" s="4">
        <f t="shared" si="1"/>
        <v>16027.559999999998</v>
      </c>
      <c r="K11" s="4">
        <f t="shared" si="2"/>
        <v>1369</v>
      </c>
      <c r="L11" s="4"/>
    </row>
    <row r="12" spans="1:12" ht="16" thickBot="1" x14ac:dyDescent="0.4">
      <c r="A12" s="4" t="s">
        <v>22</v>
      </c>
      <c r="B12" s="4">
        <v>130.19999999999999</v>
      </c>
      <c r="C12" s="4">
        <v>38</v>
      </c>
      <c r="F12" s="4">
        <v>10</v>
      </c>
      <c r="G12" s="4">
        <v>130.19999999999999</v>
      </c>
      <c r="H12" s="4">
        <v>38</v>
      </c>
      <c r="I12" s="4">
        <f t="shared" ref="I12:I14" si="3">G12*H12</f>
        <v>4947.5999999999995</v>
      </c>
      <c r="J12" s="4">
        <f t="shared" si="1"/>
        <v>16952.039999999997</v>
      </c>
      <c r="K12" s="4">
        <f t="shared" si="2"/>
        <v>1444</v>
      </c>
      <c r="L12" s="4"/>
    </row>
    <row r="13" spans="1:12" ht="16" thickBot="1" x14ac:dyDescent="0.4">
      <c r="A13" s="4" t="s">
        <v>23</v>
      </c>
      <c r="B13" s="4">
        <v>126.9</v>
      </c>
      <c r="C13" s="4">
        <v>41</v>
      </c>
      <c r="F13" s="4">
        <v>11</v>
      </c>
      <c r="G13" s="4">
        <v>126.9</v>
      </c>
      <c r="H13" s="4">
        <v>41</v>
      </c>
      <c r="I13" s="4">
        <f t="shared" si="3"/>
        <v>5202.9000000000005</v>
      </c>
      <c r="J13" s="4">
        <f t="shared" si="1"/>
        <v>16103.61</v>
      </c>
      <c r="K13" s="4">
        <f t="shared" si="2"/>
        <v>1681</v>
      </c>
      <c r="L13" s="4"/>
    </row>
    <row r="14" spans="1:12" ht="16" thickBot="1" x14ac:dyDescent="0.4">
      <c r="A14" s="4" t="s">
        <v>24</v>
      </c>
      <c r="B14" s="4">
        <v>142.5</v>
      </c>
      <c r="C14" s="4">
        <v>45</v>
      </c>
      <c r="F14" s="4">
        <v>12</v>
      </c>
      <c r="G14" s="4">
        <v>142.5</v>
      </c>
      <c r="H14" s="4">
        <v>45</v>
      </c>
      <c r="I14" s="4">
        <f t="shared" si="3"/>
        <v>6412.5</v>
      </c>
      <c r="J14" s="4">
        <f t="shared" si="1"/>
        <v>20306.25</v>
      </c>
      <c r="K14" s="4">
        <f t="shared" si="2"/>
        <v>2025</v>
      </c>
      <c r="L14" s="4"/>
    </row>
    <row r="15" spans="1:12" ht="16" thickBot="1" x14ac:dyDescent="0.4">
      <c r="F15" s="4"/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</row>
    <row r="16" spans="1:12" ht="16" thickBot="1" x14ac:dyDescent="0.4">
      <c r="F16" s="4"/>
      <c r="G16" s="4">
        <f>SUM(G3:G14)</f>
        <v>1484.7</v>
      </c>
      <c r="H16" s="4">
        <f>SUM(H3:H14)</f>
        <v>430</v>
      </c>
      <c r="I16" s="4">
        <f>SUM(I3:I14)</f>
        <v>56854.7</v>
      </c>
      <c r="J16" s="4">
        <f>SUM(J3:J14)</f>
        <v>193082.55000000005</v>
      </c>
      <c r="K16" s="4">
        <f t="shared" ref="K16:L16" si="4">SUM(K3:K14)</f>
        <v>17157.027777777777</v>
      </c>
      <c r="L16" s="4">
        <f t="shared" si="4"/>
        <v>0</v>
      </c>
    </row>
    <row r="22" spans="6:9" x14ac:dyDescent="0.35">
      <c r="F22" s="2" t="s">
        <v>20</v>
      </c>
    </row>
    <row r="23" spans="6:9" x14ac:dyDescent="0.35">
      <c r="F23" s="2" t="s">
        <v>21</v>
      </c>
      <c r="G23" s="2" t="s">
        <v>25</v>
      </c>
      <c r="H23" s="2">
        <f>G16</f>
        <v>1484.7</v>
      </c>
      <c r="I23" s="2">
        <f>H23/H24</f>
        <v>123.72500000000001</v>
      </c>
    </row>
    <row r="24" spans="6:9" x14ac:dyDescent="0.35">
      <c r="G24" s="2" t="s">
        <v>26</v>
      </c>
      <c r="H24" s="2">
        <v>12</v>
      </c>
    </row>
    <row r="27" spans="6:9" x14ac:dyDescent="0.35">
      <c r="F27" s="2" t="s">
        <v>28</v>
      </c>
      <c r="G27" s="2" t="s">
        <v>29</v>
      </c>
      <c r="H27" s="2">
        <f>H16</f>
        <v>430</v>
      </c>
      <c r="I27" s="2">
        <f>H27/H28</f>
        <v>35.833333333333336</v>
      </c>
    </row>
    <row r="28" spans="6:9" x14ac:dyDescent="0.35">
      <c r="G28" s="2" t="s">
        <v>26</v>
      </c>
      <c r="H28" s="2">
        <v>12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2022-06-17T07:39:58Z</dcterms:created>
  <dcterms:modified xsi:type="dcterms:W3CDTF">2022-06-17T16:26:54Z</dcterms:modified>
</cp:coreProperties>
</file>